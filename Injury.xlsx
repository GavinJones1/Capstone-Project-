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gavjones/Downloads/"/>
    </mc:Choice>
  </mc:AlternateContent>
  <xr:revisionPtr revIDLastSave="0" documentId="13_ncr:1_{71821CA4-6448-C14A-BC51-39D27BD9D0C4}" xr6:coauthVersionLast="47" xr6:coauthVersionMax="47" xr10:uidLastSave="{00000000-0000-0000-0000-000000000000}"/>
  <bookViews>
    <workbookView xWindow="0" yWindow="760" windowWidth="30240" windowHeight="17640" firstSheet="12" activeTab="21" xr2:uid="{7A649CEA-097D-4C42-816F-9A429412AC77}"/>
  </bookViews>
  <sheets>
    <sheet name="V1" sheetId="39" r:id="rId1"/>
    <sheet name="V2" sheetId="40" r:id="rId2"/>
    <sheet name="V3" sheetId="41" r:id="rId3"/>
    <sheet name="V4" sheetId="42" r:id="rId4"/>
    <sheet name="V5" sheetId="43" r:id="rId5"/>
    <sheet name="Small" sheetId="44" r:id="rId6"/>
    <sheet name="P1" sheetId="32" r:id="rId7"/>
    <sheet name="P2" sheetId="33" r:id="rId8"/>
    <sheet name="P3" sheetId="34" r:id="rId9"/>
    <sheet name="P4" sheetId="35" r:id="rId10"/>
    <sheet name="P5" sheetId="36" r:id="rId11"/>
    <sheet name="Medium" sheetId="38" r:id="rId12"/>
    <sheet name="L1" sheetId="46" r:id="rId13"/>
    <sheet name="L2" sheetId="14" r:id="rId14"/>
    <sheet name="L3" sheetId="15" r:id="rId15"/>
    <sheet name="L4" sheetId="16" r:id="rId16"/>
    <sheet name="L5" sheetId="17" r:id="rId17"/>
    <sheet name="Large" sheetId="18" r:id="rId18"/>
    <sheet name="Weighted Score Small" sheetId="51" r:id="rId19"/>
    <sheet name="Weighted Score Medium" sheetId="52" r:id="rId20"/>
    <sheet name="Weighted Score Large " sheetId="53" r:id="rId21"/>
    <sheet name="Feature Selection Rankings" sheetId="54" r:id="rId22"/>
    <sheet name="Preliminary Analysis" sheetId="45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52" l="1"/>
  <c r="P12" i="52"/>
  <c r="P13" i="52"/>
  <c r="P14" i="52"/>
  <c r="P15" i="52"/>
  <c r="P16" i="52"/>
  <c r="P17" i="52"/>
  <c r="P18" i="52"/>
  <c r="P19" i="52"/>
  <c r="P20" i="52"/>
  <c r="P21" i="52"/>
  <c r="P22" i="52"/>
  <c r="P23" i="52"/>
  <c r="P24" i="52"/>
  <c r="P25" i="52"/>
  <c r="P26" i="52"/>
  <c r="P27" i="52"/>
  <c r="P28" i="52"/>
  <c r="P29" i="52"/>
  <c r="P30" i="52"/>
  <c r="P31" i="52"/>
  <c r="P32" i="52"/>
  <c r="P33" i="52"/>
  <c r="P10" i="52"/>
  <c r="O11" i="53"/>
  <c r="O12" i="53"/>
  <c r="O13" i="53"/>
  <c r="O14" i="53"/>
  <c r="O15" i="53"/>
  <c r="O16" i="53"/>
  <c r="O17" i="53"/>
  <c r="O18" i="53"/>
  <c r="O19" i="53"/>
  <c r="O20" i="53"/>
  <c r="O21" i="53"/>
  <c r="O22" i="53"/>
  <c r="O23" i="53"/>
  <c r="O24" i="53"/>
  <c r="O25" i="53"/>
  <c r="O26" i="53"/>
  <c r="O27" i="53"/>
  <c r="O28" i="53"/>
  <c r="O29" i="53"/>
  <c r="O30" i="53"/>
  <c r="O31" i="53"/>
  <c r="O32" i="53"/>
  <c r="O33" i="53"/>
  <c r="O10" i="53"/>
  <c r="P11" i="51"/>
  <c r="P12" i="51"/>
  <c r="P13" i="51"/>
  <c r="P14" i="51"/>
  <c r="P15" i="51"/>
  <c r="P16" i="51"/>
  <c r="P17" i="51"/>
  <c r="P18" i="51"/>
  <c r="P19" i="51"/>
  <c r="P20" i="51"/>
  <c r="P21" i="51"/>
  <c r="P22" i="51"/>
  <c r="P23" i="51"/>
  <c r="P24" i="51"/>
  <c r="P25" i="51"/>
  <c r="P26" i="51"/>
  <c r="P27" i="51"/>
  <c r="P28" i="51"/>
  <c r="P29" i="51"/>
  <c r="P30" i="51"/>
  <c r="P31" i="51"/>
  <c r="P32" i="51"/>
  <c r="P33" i="51"/>
  <c r="P10" i="51"/>
  <c r="L10" i="52"/>
  <c r="H10" i="52"/>
  <c r="H10" i="53"/>
  <c r="I10" i="53"/>
  <c r="J10" i="53"/>
  <c r="K10" i="53"/>
  <c r="H11" i="53"/>
  <c r="I11" i="53"/>
  <c r="L11" i="53" s="1"/>
  <c r="J11" i="53"/>
  <c r="K11" i="53"/>
  <c r="H12" i="53"/>
  <c r="I12" i="53"/>
  <c r="L12" i="53" s="1"/>
  <c r="J12" i="53"/>
  <c r="K12" i="53"/>
  <c r="H13" i="53"/>
  <c r="I13" i="53"/>
  <c r="L13" i="53" s="1"/>
  <c r="J13" i="53"/>
  <c r="K13" i="53"/>
  <c r="H14" i="53"/>
  <c r="I14" i="53"/>
  <c r="J14" i="53"/>
  <c r="K14" i="53"/>
  <c r="H15" i="53"/>
  <c r="I15" i="53"/>
  <c r="L15" i="53" s="1"/>
  <c r="J15" i="53"/>
  <c r="K15" i="53"/>
  <c r="H16" i="53"/>
  <c r="I16" i="53"/>
  <c r="J16" i="53"/>
  <c r="K16" i="53"/>
  <c r="H17" i="53"/>
  <c r="I17" i="53"/>
  <c r="J17" i="53"/>
  <c r="K17" i="53"/>
  <c r="H18" i="53"/>
  <c r="I18" i="53"/>
  <c r="J18" i="53"/>
  <c r="K18" i="53"/>
  <c r="L18" i="53" s="1"/>
  <c r="H19" i="53"/>
  <c r="I19" i="53"/>
  <c r="L19" i="53" s="1"/>
  <c r="J19" i="53"/>
  <c r="K19" i="53"/>
  <c r="H20" i="53"/>
  <c r="I20" i="53"/>
  <c r="J20" i="53"/>
  <c r="K20" i="53"/>
  <c r="H21" i="53"/>
  <c r="I21" i="53"/>
  <c r="J21" i="53"/>
  <c r="K21" i="53"/>
  <c r="H22" i="53"/>
  <c r="I22" i="53"/>
  <c r="J22" i="53"/>
  <c r="K22" i="53"/>
  <c r="H23" i="53"/>
  <c r="I23" i="53"/>
  <c r="L23" i="53" s="1"/>
  <c r="J23" i="53"/>
  <c r="K23" i="53"/>
  <c r="H24" i="53"/>
  <c r="I24" i="53"/>
  <c r="J24" i="53"/>
  <c r="K24" i="53"/>
  <c r="H25" i="53"/>
  <c r="I25" i="53"/>
  <c r="L25" i="53" s="1"/>
  <c r="J25" i="53"/>
  <c r="K25" i="53"/>
  <c r="H26" i="53"/>
  <c r="I26" i="53"/>
  <c r="J26" i="53"/>
  <c r="K26" i="53"/>
  <c r="L26" i="53" s="1"/>
  <c r="H27" i="53"/>
  <c r="I27" i="53"/>
  <c r="J27" i="53"/>
  <c r="K27" i="53"/>
  <c r="H28" i="53"/>
  <c r="I28" i="53"/>
  <c r="J28" i="53"/>
  <c r="K28" i="53"/>
  <c r="H29" i="53"/>
  <c r="L29" i="53" s="1"/>
  <c r="I29" i="53"/>
  <c r="J29" i="53"/>
  <c r="K29" i="53"/>
  <c r="H30" i="53"/>
  <c r="I30" i="53"/>
  <c r="J30" i="53"/>
  <c r="K30" i="53"/>
  <c r="H31" i="53"/>
  <c r="I31" i="53"/>
  <c r="J31" i="53"/>
  <c r="K31" i="53"/>
  <c r="H32" i="53"/>
  <c r="I32" i="53"/>
  <c r="J32" i="53"/>
  <c r="K32" i="53"/>
  <c r="H33" i="53"/>
  <c r="I33" i="53"/>
  <c r="L33" i="53" s="1"/>
  <c r="J33" i="53"/>
  <c r="K33" i="53"/>
  <c r="I10" i="52"/>
  <c r="J10" i="52"/>
  <c r="K10" i="52"/>
  <c r="H11" i="52"/>
  <c r="I11" i="52"/>
  <c r="J11" i="52"/>
  <c r="K11" i="52"/>
  <c r="H12" i="52"/>
  <c r="I12" i="52"/>
  <c r="J12" i="52"/>
  <c r="K12" i="52"/>
  <c r="H13" i="52"/>
  <c r="I13" i="52"/>
  <c r="J13" i="52"/>
  <c r="K13" i="52"/>
  <c r="L13" i="52"/>
  <c r="H14" i="52"/>
  <c r="I14" i="52"/>
  <c r="J14" i="52"/>
  <c r="K14" i="52"/>
  <c r="H15" i="52"/>
  <c r="I15" i="52"/>
  <c r="J15" i="52"/>
  <c r="K15" i="52"/>
  <c r="L15" i="52"/>
  <c r="H16" i="52"/>
  <c r="I16" i="52"/>
  <c r="L16" i="52" s="1"/>
  <c r="J16" i="52"/>
  <c r="K16" i="52"/>
  <c r="H17" i="52"/>
  <c r="I17" i="52"/>
  <c r="J17" i="52"/>
  <c r="K17" i="52"/>
  <c r="H18" i="52"/>
  <c r="I18" i="52"/>
  <c r="L18" i="52" s="1"/>
  <c r="J18" i="52"/>
  <c r="K18" i="52"/>
  <c r="H19" i="52"/>
  <c r="I19" i="52"/>
  <c r="J19" i="52"/>
  <c r="K19" i="52"/>
  <c r="H20" i="52"/>
  <c r="I20" i="52"/>
  <c r="J20" i="52"/>
  <c r="K20" i="52"/>
  <c r="H21" i="52"/>
  <c r="I21" i="52"/>
  <c r="J21" i="52"/>
  <c r="K21" i="52"/>
  <c r="H22" i="52"/>
  <c r="I22" i="52"/>
  <c r="J22" i="52"/>
  <c r="K22" i="52"/>
  <c r="H23" i="52"/>
  <c r="I23" i="52"/>
  <c r="L23" i="52" s="1"/>
  <c r="J23" i="52"/>
  <c r="K23" i="52"/>
  <c r="H24" i="52"/>
  <c r="I24" i="52"/>
  <c r="J24" i="52"/>
  <c r="K24" i="52"/>
  <c r="H25" i="52"/>
  <c r="I25" i="52"/>
  <c r="J25" i="52"/>
  <c r="K25" i="52"/>
  <c r="H26" i="52"/>
  <c r="I26" i="52"/>
  <c r="J26" i="52"/>
  <c r="K26" i="52"/>
  <c r="L26" i="52"/>
  <c r="H27" i="52"/>
  <c r="I27" i="52"/>
  <c r="J27" i="52"/>
  <c r="K27" i="52"/>
  <c r="H28" i="52"/>
  <c r="I28" i="52"/>
  <c r="J28" i="52"/>
  <c r="K28" i="52"/>
  <c r="H29" i="52"/>
  <c r="I29" i="52"/>
  <c r="L29" i="52" s="1"/>
  <c r="J29" i="52"/>
  <c r="K29" i="52"/>
  <c r="H30" i="52"/>
  <c r="I30" i="52"/>
  <c r="J30" i="52"/>
  <c r="K30" i="52"/>
  <c r="H31" i="52"/>
  <c r="I31" i="52"/>
  <c r="L31" i="52" s="1"/>
  <c r="J31" i="52"/>
  <c r="K31" i="52"/>
  <c r="H32" i="52"/>
  <c r="I32" i="52"/>
  <c r="J32" i="52"/>
  <c r="K32" i="52"/>
  <c r="H33" i="52"/>
  <c r="I33" i="52"/>
  <c r="J33" i="52"/>
  <c r="K33" i="52"/>
  <c r="H10" i="51"/>
  <c r="I10" i="51"/>
  <c r="J10" i="51"/>
  <c r="K10" i="51"/>
  <c r="H11" i="51"/>
  <c r="I11" i="51"/>
  <c r="L11" i="51" s="1"/>
  <c r="J11" i="51"/>
  <c r="K11" i="51"/>
  <c r="H12" i="51"/>
  <c r="I12" i="51"/>
  <c r="L12" i="51" s="1"/>
  <c r="J12" i="51"/>
  <c r="K12" i="51"/>
  <c r="H13" i="51"/>
  <c r="L13" i="51" s="1"/>
  <c r="I13" i="51"/>
  <c r="J13" i="51"/>
  <c r="K13" i="51"/>
  <c r="H14" i="51"/>
  <c r="I14" i="51"/>
  <c r="L14" i="51" s="1"/>
  <c r="J14" i="51"/>
  <c r="K14" i="51"/>
  <c r="H15" i="51"/>
  <c r="L15" i="51" s="1"/>
  <c r="I15" i="51"/>
  <c r="J15" i="51"/>
  <c r="K15" i="51"/>
  <c r="H16" i="51"/>
  <c r="I16" i="51"/>
  <c r="J16" i="51"/>
  <c r="K16" i="51"/>
  <c r="H17" i="51"/>
  <c r="I17" i="51"/>
  <c r="J17" i="51"/>
  <c r="K17" i="51"/>
  <c r="L17" i="51" s="1"/>
  <c r="H18" i="51"/>
  <c r="I18" i="51"/>
  <c r="L18" i="51" s="1"/>
  <c r="J18" i="51"/>
  <c r="K18" i="51"/>
  <c r="H19" i="51"/>
  <c r="I19" i="51"/>
  <c r="L19" i="51" s="1"/>
  <c r="J19" i="51"/>
  <c r="K19" i="51"/>
  <c r="H20" i="51"/>
  <c r="I20" i="51"/>
  <c r="L20" i="51" s="1"/>
  <c r="J20" i="51"/>
  <c r="K20" i="51"/>
  <c r="H21" i="51"/>
  <c r="L21" i="51" s="1"/>
  <c r="I21" i="51"/>
  <c r="J21" i="51"/>
  <c r="K21" i="51"/>
  <c r="H22" i="51"/>
  <c r="I22" i="51"/>
  <c r="J22" i="51"/>
  <c r="K22" i="51"/>
  <c r="H23" i="51"/>
  <c r="I23" i="51"/>
  <c r="J23" i="51"/>
  <c r="K23" i="51"/>
  <c r="L23" i="51"/>
  <c r="H24" i="51"/>
  <c r="I24" i="51"/>
  <c r="J24" i="51"/>
  <c r="K24" i="51"/>
  <c r="H25" i="51"/>
  <c r="I25" i="51"/>
  <c r="L25" i="51" s="1"/>
  <c r="J25" i="51"/>
  <c r="K25" i="51"/>
  <c r="H26" i="51"/>
  <c r="I26" i="51"/>
  <c r="L26" i="51" s="1"/>
  <c r="J26" i="51"/>
  <c r="K26" i="51"/>
  <c r="H27" i="51"/>
  <c r="I27" i="51"/>
  <c r="L27" i="51" s="1"/>
  <c r="J27" i="51"/>
  <c r="K27" i="51"/>
  <c r="H28" i="51"/>
  <c r="I28" i="51"/>
  <c r="L28" i="51" s="1"/>
  <c r="J28" i="51"/>
  <c r="K28" i="51"/>
  <c r="H29" i="51"/>
  <c r="L29" i="51" s="1"/>
  <c r="I29" i="51"/>
  <c r="J29" i="51"/>
  <c r="K29" i="51"/>
  <c r="H30" i="51"/>
  <c r="I30" i="51"/>
  <c r="J30" i="51"/>
  <c r="K30" i="51"/>
  <c r="H31" i="51"/>
  <c r="L31" i="51" s="1"/>
  <c r="I31" i="51"/>
  <c r="J31" i="51"/>
  <c r="K31" i="51"/>
  <c r="H32" i="51"/>
  <c r="I32" i="51"/>
  <c r="J32" i="51"/>
  <c r="K32" i="51"/>
  <c r="H33" i="51"/>
  <c r="I33" i="51"/>
  <c r="J33" i="51"/>
  <c r="K33" i="51"/>
  <c r="L33" i="51" s="1"/>
  <c r="CB4" i="45"/>
  <c r="CB5" i="45"/>
  <c r="CB6" i="45"/>
  <c r="CB7" i="45"/>
  <c r="CB8" i="45"/>
  <c r="CB9" i="45"/>
  <c r="CB10" i="45"/>
  <c r="CB11" i="45"/>
  <c r="CB12" i="45"/>
  <c r="CB13" i="45"/>
  <c r="CB14" i="45"/>
  <c r="CB15" i="45"/>
  <c r="CB16" i="45"/>
  <c r="CB17" i="45"/>
  <c r="CB18" i="45"/>
  <c r="CB19" i="45"/>
  <c r="CB20" i="45"/>
  <c r="CB21" i="45"/>
  <c r="CB22" i="45"/>
  <c r="CB23" i="45"/>
  <c r="CB24" i="45"/>
  <c r="CB25" i="45"/>
  <c r="CB26" i="45"/>
  <c r="CA4" i="45"/>
  <c r="CA5" i="45"/>
  <c r="CA6" i="45"/>
  <c r="CA7" i="45"/>
  <c r="CA8" i="45"/>
  <c r="CA9" i="45"/>
  <c r="CA10" i="45"/>
  <c r="CA11" i="45"/>
  <c r="CA12" i="45"/>
  <c r="CA13" i="45"/>
  <c r="CA14" i="45"/>
  <c r="CA15" i="45"/>
  <c r="CA16" i="45"/>
  <c r="CA17" i="45"/>
  <c r="CA18" i="45"/>
  <c r="CA19" i="45"/>
  <c r="CA20" i="45"/>
  <c r="CA21" i="45"/>
  <c r="CA22" i="45"/>
  <c r="CA23" i="45"/>
  <c r="CA24" i="45"/>
  <c r="CA25" i="45"/>
  <c r="CA26" i="45"/>
  <c r="BZ4" i="45"/>
  <c r="BZ5" i="45"/>
  <c r="BZ6" i="45"/>
  <c r="BZ7" i="45"/>
  <c r="BZ8" i="45"/>
  <c r="BZ9" i="45"/>
  <c r="BZ10" i="45"/>
  <c r="BZ11" i="45"/>
  <c r="BZ12" i="45"/>
  <c r="BZ13" i="45"/>
  <c r="BZ14" i="45"/>
  <c r="BZ15" i="45"/>
  <c r="BZ16" i="45"/>
  <c r="BZ17" i="45"/>
  <c r="BZ18" i="45"/>
  <c r="BZ19" i="45"/>
  <c r="BZ20" i="45"/>
  <c r="BZ21" i="45"/>
  <c r="BZ22" i="45"/>
  <c r="BZ23" i="45"/>
  <c r="BZ24" i="45"/>
  <c r="BZ25" i="45"/>
  <c r="BZ26" i="45"/>
  <c r="BY4" i="45"/>
  <c r="BY5" i="45"/>
  <c r="BY6" i="45"/>
  <c r="BY7" i="45"/>
  <c r="BY8" i="45"/>
  <c r="BY9" i="45"/>
  <c r="BY10" i="45"/>
  <c r="BY11" i="45"/>
  <c r="BY12" i="45"/>
  <c r="BY13" i="45"/>
  <c r="BY14" i="45"/>
  <c r="BY15" i="45"/>
  <c r="BY16" i="45"/>
  <c r="BY17" i="45"/>
  <c r="BY18" i="45"/>
  <c r="BY19" i="45"/>
  <c r="BY20" i="45"/>
  <c r="BY21" i="45"/>
  <c r="BY22" i="45"/>
  <c r="BY23" i="45"/>
  <c r="BY24" i="45"/>
  <c r="BY25" i="45"/>
  <c r="BY26" i="45"/>
  <c r="BX4" i="45"/>
  <c r="BX5" i="45"/>
  <c r="BX6" i="45"/>
  <c r="BX7" i="45"/>
  <c r="BX8" i="45"/>
  <c r="BX9" i="45"/>
  <c r="BX10" i="45"/>
  <c r="BX11" i="45"/>
  <c r="BX12" i="45"/>
  <c r="BX13" i="45"/>
  <c r="BX14" i="45"/>
  <c r="BX15" i="45"/>
  <c r="BX16" i="45"/>
  <c r="BX17" i="45"/>
  <c r="BX18" i="45"/>
  <c r="BX19" i="45"/>
  <c r="BX20" i="45"/>
  <c r="BX21" i="45"/>
  <c r="BX22" i="45"/>
  <c r="BX23" i="45"/>
  <c r="BX24" i="45"/>
  <c r="BX25" i="45"/>
  <c r="BX26" i="45"/>
  <c r="BX3" i="45"/>
  <c r="BY3" i="45"/>
  <c r="BZ3" i="45"/>
  <c r="CA3" i="45"/>
  <c r="CB3" i="45"/>
  <c r="BW4" i="45"/>
  <c r="BW5" i="45"/>
  <c r="BW6" i="45"/>
  <c r="BW7" i="45"/>
  <c r="BW8" i="45"/>
  <c r="BW9" i="45"/>
  <c r="BW10" i="45"/>
  <c r="BW11" i="45"/>
  <c r="BW12" i="45"/>
  <c r="BW13" i="45"/>
  <c r="BW14" i="45"/>
  <c r="BW15" i="45"/>
  <c r="BW16" i="45"/>
  <c r="BW17" i="45"/>
  <c r="BW18" i="45"/>
  <c r="BW19" i="45"/>
  <c r="BW20" i="45"/>
  <c r="BW21" i="45"/>
  <c r="BW22" i="45"/>
  <c r="BW23" i="45"/>
  <c r="BW24" i="45"/>
  <c r="BW25" i="45"/>
  <c r="BW26" i="45"/>
  <c r="BW3" i="45"/>
  <c r="AB14" i="45"/>
  <c r="AC14" i="45"/>
  <c r="AB21" i="45"/>
  <c r="AC21" i="45"/>
  <c r="AB16" i="45"/>
  <c r="AC16" i="45"/>
  <c r="AB26" i="45"/>
  <c r="AC26" i="45"/>
  <c r="AB20" i="45"/>
  <c r="AC20" i="45"/>
  <c r="AB18" i="45"/>
  <c r="AC18" i="45"/>
  <c r="AB4" i="45"/>
  <c r="AC4" i="45"/>
  <c r="AB24" i="45"/>
  <c r="AC24" i="45"/>
  <c r="AB3" i="45"/>
  <c r="AC3" i="45"/>
  <c r="AB15" i="45"/>
  <c r="AC15" i="45"/>
  <c r="AB5" i="45"/>
  <c r="AC5" i="45"/>
  <c r="AB6" i="45"/>
  <c r="AC6" i="45"/>
  <c r="AB7" i="45"/>
  <c r="AC7" i="45"/>
  <c r="AB22" i="45"/>
  <c r="AC22" i="45"/>
  <c r="AB23" i="45"/>
  <c r="AC23" i="45"/>
  <c r="AB8" i="45"/>
  <c r="AC8" i="45"/>
  <c r="AB12" i="45"/>
  <c r="AC12" i="45"/>
  <c r="AB9" i="45"/>
  <c r="AC9" i="45"/>
  <c r="AB11" i="45"/>
  <c r="AC11" i="45"/>
  <c r="AB10" i="45"/>
  <c r="AC10" i="45"/>
  <c r="AB13" i="45"/>
  <c r="AC13" i="45"/>
  <c r="AB17" i="45"/>
  <c r="AC17" i="45"/>
  <c r="AB25" i="45"/>
  <c r="AC25" i="45"/>
  <c r="AC19" i="45"/>
  <c r="AB19" i="45"/>
  <c r="AD14" i="45"/>
  <c r="AD21" i="45"/>
  <c r="AD16" i="45"/>
  <c r="AD26" i="45"/>
  <c r="AD20" i="45"/>
  <c r="AD18" i="45"/>
  <c r="AD4" i="45"/>
  <c r="AD24" i="45"/>
  <c r="AD3" i="45"/>
  <c r="AD15" i="45"/>
  <c r="AD5" i="45"/>
  <c r="AD6" i="45"/>
  <c r="AD7" i="45"/>
  <c r="AD22" i="45"/>
  <c r="AD23" i="45"/>
  <c r="AD8" i="45"/>
  <c r="AD12" i="45"/>
  <c r="AD9" i="45"/>
  <c r="AD11" i="45"/>
  <c r="AD10" i="45"/>
  <c r="AD13" i="45"/>
  <c r="AD17" i="45"/>
  <c r="AD25" i="45"/>
  <c r="AD19" i="45"/>
  <c r="Z3" i="45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AD12" i="18"/>
  <c r="AE12" i="18"/>
  <c r="AF12" i="18"/>
  <c r="AG12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AG13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AG14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AG15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AG17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AG18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AG23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AG24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AG25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AE26" i="18"/>
  <c r="AF26" i="18"/>
  <c r="AG26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AE27" i="18"/>
  <c r="AF27" i="18"/>
  <c r="AG27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AB29" i="18"/>
  <c r="AC29" i="18"/>
  <c r="AD29" i="18"/>
  <c r="AE29" i="18"/>
  <c r="AF29" i="18"/>
  <c r="AG29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AB30" i="18"/>
  <c r="AC30" i="18"/>
  <c r="AD30" i="18"/>
  <c r="AE30" i="18"/>
  <c r="AF30" i="18"/>
  <c r="AG30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AA31" i="18"/>
  <c r="AB31" i="18"/>
  <c r="AC31" i="18"/>
  <c r="AD31" i="18"/>
  <c r="AE31" i="18"/>
  <c r="AF31" i="18"/>
  <c r="AG31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AA32" i="18"/>
  <c r="AB32" i="18"/>
  <c r="AC32" i="18"/>
  <c r="AD32" i="18"/>
  <c r="AE32" i="18"/>
  <c r="AF32" i="18"/>
  <c r="AG32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AA33" i="18"/>
  <c r="AB33" i="18"/>
  <c r="AC33" i="18"/>
  <c r="AD33" i="18"/>
  <c r="AE33" i="18"/>
  <c r="AF33" i="18"/>
  <c r="AG33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E10" i="18"/>
  <c r="E10" i="14"/>
  <c r="U28" i="45"/>
  <c r="V28" i="45"/>
  <c r="T28" i="45"/>
  <c r="I28" i="45"/>
  <c r="J28" i="45"/>
  <c r="H28" i="45"/>
  <c r="D28" i="45"/>
  <c r="R27" i="45"/>
  <c r="F28" i="45"/>
  <c r="Q27" i="45"/>
  <c r="P27" i="45"/>
  <c r="M27" i="45"/>
  <c r="R28" i="45"/>
  <c r="Q28" i="45"/>
  <c r="P28" i="45"/>
  <c r="N28" i="45"/>
  <c r="J27" i="45"/>
  <c r="U27" i="45"/>
  <c r="V27" i="45"/>
  <c r="T27" i="45"/>
  <c r="I27" i="45"/>
  <c r="H27" i="45"/>
  <c r="M28" i="45"/>
  <c r="N27" i="45"/>
  <c r="E27" i="45"/>
  <c r="L28" i="45"/>
  <c r="L27" i="45"/>
  <c r="D27" i="45"/>
  <c r="T40" i="45"/>
  <c r="E28" i="45"/>
  <c r="F27" i="45"/>
  <c r="T38" i="45"/>
  <c r="X5" i="45"/>
  <c r="X23" i="45"/>
  <c r="X9" i="45"/>
  <c r="X24" i="45"/>
  <c r="X22" i="45"/>
  <c r="X25" i="45"/>
  <c r="X4" i="45"/>
  <c r="X18" i="45"/>
  <c r="X20" i="45"/>
  <c r="X21" i="45"/>
  <c r="X12" i="45"/>
  <c r="X13" i="45"/>
  <c r="X11" i="45"/>
  <c r="X7" i="45"/>
  <c r="X16" i="45"/>
  <c r="X10" i="45"/>
  <c r="X15" i="45"/>
  <c r="X14" i="45"/>
  <c r="X19" i="45"/>
  <c r="X8" i="45"/>
  <c r="X17" i="45"/>
  <c r="X26" i="45"/>
  <c r="X3" i="45"/>
  <c r="X6" i="45"/>
  <c r="T36" i="45"/>
  <c r="T35" i="45"/>
  <c r="T33" i="45"/>
  <c r="T32" i="45"/>
  <c r="AM21" i="44"/>
  <c r="AM27" i="44"/>
  <c r="AM28" i="44"/>
  <c r="AM29" i="44"/>
  <c r="AM30" i="44"/>
  <c r="AM31" i="44"/>
  <c r="AM32" i="44"/>
  <c r="AM33" i="44"/>
  <c r="AM11" i="44"/>
  <c r="AM12" i="44"/>
  <c r="AM13" i="44"/>
  <c r="AM14" i="44"/>
  <c r="AM15" i="44"/>
  <c r="AM16" i="44"/>
  <c r="AM17" i="44"/>
  <c r="AM18" i="44"/>
  <c r="AM19" i="44"/>
  <c r="AM20" i="44"/>
  <c r="AM22" i="44"/>
  <c r="AM23" i="44"/>
  <c r="AM24" i="44"/>
  <c r="AM25" i="44"/>
  <c r="AM26" i="44"/>
  <c r="AL21" i="44"/>
  <c r="AL27" i="44"/>
  <c r="AL28" i="44"/>
  <c r="AL29" i="44"/>
  <c r="AL30" i="44"/>
  <c r="AL31" i="44"/>
  <c r="AL32" i="44"/>
  <c r="AL33" i="44"/>
  <c r="AL11" i="44"/>
  <c r="AL12" i="44"/>
  <c r="AL13" i="44"/>
  <c r="AL14" i="44"/>
  <c r="AL15" i="44"/>
  <c r="AL16" i="44"/>
  <c r="AL17" i="44"/>
  <c r="AL18" i="44"/>
  <c r="AL19" i="44"/>
  <c r="AL20" i="44"/>
  <c r="AL22" i="44"/>
  <c r="AL23" i="44"/>
  <c r="AL24" i="44"/>
  <c r="AL25" i="44"/>
  <c r="AL26" i="44"/>
  <c r="AK21" i="44"/>
  <c r="AK27" i="44"/>
  <c r="AK28" i="44"/>
  <c r="AK29" i="44"/>
  <c r="AK30" i="44"/>
  <c r="AK31" i="44"/>
  <c r="AK32" i="44"/>
  <c r="AK33" i="44"/>
  <c r="AK11" i="44"/>
  <c r="AK12" i="44"/>
  <c r="AK13" i="44"/>
  <c r="AK14" i="44"/>
  <c r="AK15" i="44"/>
  <c r="AK16" i="44"/>
  <c r="AK17" i="44"/>
  <c r="AK18" i="44"/>
  <c r="AK19" i="44"/>
  <c r="AK20" i="44"/>
  <c r="AK22" i="44"/>
  <c r="AK23" i="44"/>
  <c r="AK24" i="44"/>
  <c r="AK25" i="44"/>
  <c r="AK26" i="44"/>
  <c r="AJ21" i="44"/>
  <c r="AJ27" i="44"/>
  <c r="AJ28" i="44"/>
  <c r="AJ29" i="44"/>
  <c r="AJ30" i="44"/>
  <c r="AJ31" i="44"/>
  <c r="AJ32" i="44"/>
  <c r="AJ33" i="44"/>
  <c r="AJ11" i="44"/>
  <c r="AJ12" i="44"/>
  <c r="AJ13" i="44"/>
  <c r="AJ14" i="44"/>
  <c r="AJ15" i="44"/>
  <c r="AJ16" i="44"/>
  <c r="AJ17" i="44"/>
  <c r="AJ18" i="44"/>
  <c r="AJ19" i="44"/>
  <c r="AJ20" i="44"/>
  <c r="AJ22" i="44"/>
  <c r="AJ23" i="44"/>
  <c r="AJ24" i="44"/>
  <c r="AJ25" i="44"/>
  <c r="AJ26" i="44"/>
  <c r="AI21" i="44"/>
  <c r="AI27" i="44"/>
  <c r="AI28" i="44"/>
  <c r="AI29" i="44"/>
  <c r="AI30" i="44"/>
  <c r="AI31" i="44"/>
  <c r="AI32" i="44"/>
  <c r="AI33" i="44"/>
  <c r="AI11" i="44"/>
  <c r="AI12" i="44"/>
  <c r="AI13" i="44"/>
  <c r="AI14" i="44"/>
  <c r="AI15" i="44"/>
  <c r="AI16" i="44"/>
  <c r="AI17" i="44"/>
  <c r="AI18" i="44"/>
  <c r="AI19" i="44"/>
  <c r="AI20" i="44"/>
  <c r="AI22" i="44"/>
  <c r="AI23" i="44"/>
  <c r="AI24" i="44"/>
  <c r="AI25" i="44"/>
  <c r="AI26" i="44"/>
  <c r="AH21" i="44"/>
  <c r="AH27" i="44"/>
  <c r="AH28" i="44"/>
  <c r="AH29" i="44"/>
  <c r="AH30" i="44"/>
  <c r="AH31" i="44"/>
  <c r="AH32" i="44"/>
  <c r="AH33" i="44"/>
  <c r="AH11" i="44"/>
  <c r="AH12" i="44"/>
  <c r="AH13" i="44"/>
  <c r="AH14" i="44"/>
  <c r="AH15" i="44"/>
  <c r="AH16" i="44"/>
  <c r="AH17" i="44"/>
  <c r="AH18" i="44"/>
  <c r="AH19" i="44"/>
  <c r="AH20" i="44"/>
  <c r="AH22" i="44"/>
  <c r="AH23" i="44"/>
  <c r="AH24" i="44"/>
  <c r="AH25" i="44"/>
  <c r="AH26" i="44"/>
  <c r="AG21" i="44"/>
  <c r="AG27" i="44"/>
  <c r="AG28" i="44"/>
  <c r="AG29" i="44"/>
  <c r="AG30" i="44"/>
  <c r="AG31" i="44"/>
  <c r="AG32" i="44"/>
  <c r="AG33" i="44"/>
  <c r="AG11" i="44"/>
  <c r="AG12" i="44"/>
  <c r="AG13" i="44"/>
  <c r="AG14" i="44"/>
  <c r="AG15" i="44"/>
  <c r="AG16" i="44"/>
  <c r="AG17" i="44"/>
  <c r="AG18" i="44"/>
  <c r="AG19" i="44"/>
  <c r="AG20" i="44"/>
  <c r="AG22" i="44"/>
  <c r="AG23" i="44"/>
  <c r="AG24" i="44"/>
  <c r="AG25" i="44"/>
  <c r="AG26" i="44"/>
  <c r="AF21" i="44"/>
  <c r="AF27" i="44"/>
  <c r="AF28" i="44"/>
  <c r="AF29" i="44"/>
  <c r="AF30" i="44"/>
  <c r="AF31" i="44"/>
  <c r="AF32" i="44"/>
  <c r="AF33" i="44"/>
  <c r="AF11" i="44"/>
  <c r="AF12" i="44"/>
  <c r="AF13" i="44"/>
  <c r="AF14" i="44"/>
  <c r="AF15" i="44"/>
  <c r="AF16" i="44"/>
  <c r="AF17" i="44"/>
  <c r="AF18" i="44"/>
  <c r="AF19" i="44"/>
  <c r="AF20" i="44"/>
  <c r="AF22" i="44"/>
  <c r="AF23" i="44"/>
  <c r="AF24" i="44"/>
  <c r="AF25" i="44"/>
  <c r="AF26" i="44"/>
  <c r="AE21" i="44"/>
  <c r="AE27" i="44"/>
  <c r="AE28" i="44"/>
  <c r="AE29" i="44"/>
  <c r="AE30" i="44"/>
  <c r="AE31" i="44"/>
  <c r="AE32" i="44"/>
  <c r="AE33" i="44"/>
  <c r="AE11" i="44"/>
  <c r="AE12" i="44"/>
  <c r="AE13" i="44"/>
  <c r="AE14" i="44"/>
  <c r="AE15" i="44"/>
  <c r="AE16" i="44"/>
  <c r="AE17" i="44"/>
  <c r="AE18" i="44"/>
  <c r="AE19" i="44"/>
  <c r="AE20" i="44"/>
  <c r="AE22" i="44"/>
  <c r="AE23" i="44"/>
  <c r="AE24" i="44"/>
  <c r="AE25" i="44"/>
  <c r="AE26" i="44"/>
  <c r="AD21" i="44"/>
  <c r="AD27" i="44"/>
  <c r="AD28" i="44"/>
  <c r="AD29" i="44"/>
  <c r="AD30" i="44"/>
  <c r="AD31" i="44"/>
  <c r="AD32" i="44"/>
  <c r="AD33" i="44"/>
  <c r="AD11" i="44"/>
  <c r="AD12" i="44"/>
  <c r="AD13" i="44"/>
  <c r="AD14" i="44"/>
  <c r="AD15" i="44"/>
  <c r="AD16" i="44"/>
  <c r="AD17" i="44"/>
  <c r="AD18" i="44"/>
  <c r="AD19" i="44"/>
  <c r="AD20" i="44"/>
  <c r="AD22" i="44"/>
  <c r="AD23" i="44"/>
  <c r="AD24" i="44"/>
  <c r="AD25" i="44"/>
  <c r="AD26" i="44"/>
  <c r="AC21" i="44"/>
  <c r="AC27" i="44"/>
  <c r="AC28" i="44"/>
  <c r="AC29" i="44"/>
  <c r="AC30" i="44"/>
  <c r="AC31" i="44"/>
  <c r="AC32" i="44"/>
  <c r="AC33" i="44"/>
  <c r="AC11" i="44"/>
  <c r="AC12" i="44"/>
  <c r="AC13" i="44"/>
  <c r="AC14" i="44"/>
  <c r="AC15" i="44"/>
  <c r="AC16" i="44"/>
  <c r="AC17" i="44"/>
  <c r="AC18" i="44"/>
  <c r="AC19" i="44"/>
  <c r="AC20" i="44"/>
  <c r="AC22" i="44"/>
  <c r="AC23" i="44"/>
  <c r="AC24" i="44"/>
  <c r="AC25" i="44"/>
  <c r="AC26" i="44"/>
  <c r="AB21" i="44"/>
  <c r="AB27" i="44"/>
  <c r="AB28" i="44"/>
  <c r="AB29" i="44"/>
  <c r="AB30" i="44"/>
  <c r="AB31" i="44"/>
  <c r="AB32" i="44"/>
  <c r="AB33" i="44"/>
  <c r="AB11" i="44"/>
  <c r="AB12" i="44"/>
  <c r="AB13" i="44"/>
  <c r="AB14" i="44"/>
  <c r="AB15" i="44"/>
  <c r="AB16" i="44"/>
  <c r="AB17" i="44"/>
  <c r="AB18" i="44"/>
  <c r="AB19" i="44"/>
  <c r="AB20" i="44"/>
  <c r="AB22" i="44"/>
  <c r="AB23" i="44"/>
  <c r="AB24" i="44"/>
  <c r="AB25" i="44"/>
  <c r="AB26" i="44"/>
  <c r="AA21" i="44"/>
  <c r="AA27" i="44"/>
  <c r="AA28" i="44"/>
  <c r="AA29" i="44"/>
  <c r="AA30" i="44"/>
  <c r="AA31" i="44"/>
  <c r="AA32" i="44"/>
  <c r="AA33" i="44"/>
  <c r="AA11" i="44"/>
  <c r="AA12" i="44"/>
  <c r="AA13" i="44"/>
  <c r="AA14" i="44"/>
  <c r="AA15" i="44"/>
  <c r="AA16" i="44"/>
  <c r="AA17" i="44"/>
  <c r="AA18" i="44"/>
  <c r="AA19" i="44"/>
  <c r="AA20" i="44"/>
  <c r="AA22" i="44"/>
  <c r="AA23" i="44"/>
  <c r="AA24" i="44"/>
  <c r="AA25" i="44"/>
  <c r="AA26" i="44"/>
  <c r="Z21" i="44"/>
  <c r="Z27" i="44"/>
  <c r="Z28" i="44"/>
  <c r="Z29" i="44"/>
  <c r="Z30" i="44"/>
  <c r="Z31" i="44"/>
  <c r="Z32" i="44"/>
  <c r="Z33" i="44"/>
  <c r="Z11" i="44"/>
  <c r="Z12" i="44"/>
  <c r="Z13" i="44"/>
  <c r="Z14" i="44"/>
  <c r="Z15" i="44"/>
  <c r="Z16" i="44"/>
  <c r="Z17" i="44"/>
  <c r="Z18" i="44"/>
  <c r="Z19" i="44"/>
  <c r="Z20" i="44"/>
  <c r="Z22" i="44"/>
  <c r="Z23" i="44"/>
  <c r="Z24" i="44"/>
  <c r="Z25" i="44"/>
  <c r="Z26" i="44"/>
  <c r="Y21" i="44"/>
  <c r="Y27" i="44"/>
  <c r="Y28" i="44"/>
  <c r="Y29" i="44"/>
  <c r="Y30" i="44"/>
  <c r="Y31" i="44"/>
  <c r="Y32" i="44"/>
  <c r="Y33" i="44"/>
  <c r="Y11" i="44"/>
  <c r="Y12" i="44"/>
  <c r="Y13" i="44"/>
  <c r="Y14" i="44"/>
  <c r="Y15" i="44"/>
  <c r="Y16" i="44"/>
  <c r="Y17" i="44"/>
  <c r="Y18" i="44"/>
  <c r="Y19" i="44"/>
  <c r="Y20" i="44"/>
  <c r="Y22" i="44"/>
  <c r="Y23" i="44"/>
  <c r="Y24" i="44"/>
  <c r="Y25" i="44"/>
  <c r="Y26" i="44"/>
  <c r="X21" i="44"/>
  <c r="X27" i="44"/>
  <c r="X28" i="44"/>
  <c r="X29" i="44"/>
  <c r="X30" i="44"/>
  <c r="X31" i="44"/>
  <c r="X32" i="44"/>
  <c r="X33" i="44"/>
  <c r="X11" i="44"/>
  <c r="X12" i="44"/>
  <c r="X13" i="44"/>
  <c r="X14" i="44"/>
  <c r="X15" i="44"/>
  <c r="X16" i="44"/>
  <c r="X17" i="44"/>
  <c r="X18" i="44"/>
  <c r="X19" i="44"/>
  <c r="X20" i="44"/>
  <c r="X22" i="44"/>
  <c r="X23" i="44"/>
  <c r="X24" i="44"/>
  <c r="X25" i="44"/>
  <c r="X26" i="44"/>
  <c r="W21" i="44"/>
  <c r="W27" i="44"/>
  <c r="W28" i="44"/>
  <c r="W29" i="44"/>
  <c r="W30" i="44"/>
  <c r="W31" i="44"/>
  <c r="W32" i="44"/>
  <c r="W33" i="44"/>
  <c r="W11" i="44"/>
  <c r="W12" i="44"/>
  <c r="W13" i="44"/>
  <c r="W14" i="44"/>
  <c r="W15" i="44"/>
  <c r="W16" i="44"/>
  <c r="W17" i="44"/>
  <c r="W18" i="44"/>
  <c r="W19" i="44"/>
  <c r="W20" i="44"/>
  <c r="W22" i="44"/>
  <c r="W23" i="44"/>
  <c r="W24" i="44"/>
  <c r="W25" i="44"/>
  <c r="W26" i="44"/>
  <c r="V21" i="44"/>
  <c r="V27" i="44"/>
  <c r="V28" i="44"/>
  <c r="V29" i="44"/>
  <c r="V30" i="44"/>
  <c r="V31" i="44"/>
  <c r="V32" i="44"/>
  <c r="V33" i="44"/>
  <c r="V11" i="44"/>
  <c r="V12" i="44"/>
  <c r="V13" i="44"/>
  <c r="V14" i="44"/>
  <c r="V15" i="44"/>
  <c r="V16" i="44"/>
  <c r="V17" i="44"/>
  <c r="V18" i="44"/>
  <c r="V19" i="44"/>
  <c r="V20" i="44"/>
  <c r="V22" i="44"/>
  <c r="V23" i="44"/>
  <c r="V24" i="44"/>
  <c r="V25" i="44"/>
  <c r="V26" i="44"/>
  <c r="U21" i="44"/>
  <c r="U27" i="44"/>
  <c r="U28" i="44"/>
  <c r="U29" i="44"/>
  <c r="U30" i="44"/>
  <c r="U31" i="44"/>
  <c r="U32" i="44"/>
  <c r="U33" i="44"/>
  <c r="U11" i="44"/>
  <c r="U12" i="44"/>
  <c r="U13" i="44"/>
  <c r="U14" i="44"/>
  <c r="U15" i="44"/>
  <c r="U16" i="44"/>
  <c r="U17" i="44"/>
  <c r="U18" i="44"/>
  <c r="U19" i="44"/>
  <c r="U20" i="44"/>
  <c r="U22" i="44"/>
  <c r="U23" i="44"/>
  <c r="U24" i="44"/>
  <c r="U25" i="44"/>
  <c r="U26" i="44"/>
  <c r="T21" i="44"/>
  <c r="T27" i="44"/>
  <c r="T28" i="44"/>
  <c r="T29" i="44"/>
  <c r="T30" i="44"/>
  <c r="T31" i="44"/>
  <c r="T32" i="44"/>
  <c r="T33" i="44"/>
  <c r="T11" i="44"/>
  <c r="T12" i="44"/>
  <c r="T13" i="44"/>
  <c r="T14" i="44"/>
  <c r="T15" i="44"/>
  <c r="T16" i="44"/>
  <c r="T17" i="44"/>
  <c r="T18" i="44"/>
  <c r="T19" i="44"/>
  <c r="T20" i="44"/>
  <c r="T22" i="44"/>
  <c r="T23" i="44"/>
  <c r="T24" i="44"/>
  <c r="T25" i="44"/>
  <c r="T26" i="44"/>
  <c r="S21" i="44"/>
  <c r="S27" i="44"/>
  <c r="S28" i="44"/>
  <c r="S29" i="44"/>
  <c r="S30" i="44"/>
  <c r="S31" i="44"/>
  <c r="S32" i="44"/>
  <c r="S33" i="44"/>
  <c r="S11" i="44"/>
  <c r="S12" i="44"/>
  <c r="S13" i="44"/>
  <c r="S14" i="44"/>
  <c r="S15" i="44"/>
  <c r="S16" i="44"/>
  <c r="S17" i="44"/>
  <c r="S18" i="44"/>
  <c r="S19" i="44"/>
  <c r="S20" i="44"/>
  <c r="S22" i="44"/>
  <c r="S23" i="44"/>
  <c r="S24" i="44"/>
  <c r="S25" i="44"/>
  <c r="S26" i="44"/>
  <c r="R21" i="44"/>
  <c r="R27" i="44"/>
  <c r="R28" i="44"/>
  <c r="R29" i="44"/>
  <c r="R30" i="44"/>
  <c r="R31" i="44"/>
  <c r="R32" i="44"/>
  <c r="R33" i="44"/>
  <c r="R11" i="44"/>
  <c r="R12" i="44"/>
  <c r="R13" i="44"/>
  <c r="R14" i="44"/>
  <c r="R15" i="44"/>
  <c r="R16" i="44"/>
  <c r="R17" i="44"/>
  <c r="R18" i="44"/>
  <c r="R19" i="44"/>
  <c r="R20" i="44"/>
  <c r="R22" i="44"/>
  <c r="R23" i="44"/>
  <c r="R24" i="44"/>
  <c r="R25" i="44"/>
  <c r="R26" i="44"/>
  <c r="Q21" i="44"/>
  <c r="Q27" i="44"/>
  <c r="Q28" i="44"/>
  <c r="Q29" i="44"/>
  <c r="Q30" i="44"/>
  <c r="Q31" i="44"/>
  <c r="Q32" i="44"/>
  <c r="Q33" i="44"/>
  <c r="Q11" i="44"/>
  <c r="Q12" i="44"/>
  <c r="Q13" i="44"/>
  <c r="Q14" i="44"/>
  <c r="Q15" i="44"/>
  <c r="Q16" i="44"/>
  <c r="Q17" i="44"/>
  <c r="Q18" i="44"/>
  <c r="Q19" i="44"/>
  <c r="Q20" i="44"/>
  <c r="Q22" i="44"/>
  <c r="Q23" i="44"/>
  <c r="Q24" i="44"/>
  <c r="Q25" i="44"/>
  <c r="Q26" i="44"/>
  <c r="P21" i="44"/>
  <c r="P27" i="44"/>
  <c r="P28" i="44"/>
  <c r="P29" i="44"/>
  <c r="P30" i="44"/>
  <c r="P31" i="44"/>
  <c r="P32" i="44"/>
  <c r="P33" i="44"/>
  <c r="P11" i="44"/>
  <c r="P12" i="44"/>
  <c r="P13" i="44"/>
  <c r="P14" i="44"/>
  <c r="P15" i="44"/>
  <c r="P16" i="44"/>
  <c r="P17" i="44"/>
  <c r="P18" i="44"/>
  <c r="P19" i="44"/>
  <c r="P20" i="44"/>
  <c r="P22" i="44"/>
  <c r="P23" i="44"/>
  <c r="P24" i="44"/>
  <c r="P25" i="44"/>
  <c r="P26" i="44"/>
  <c r="O21" i="44"/>
  <c r="O27" i="44"/>
  <c r="O28" i="44"/>
  <c r="O29" i="44"/>
  <c r="O30" i="44"/>
  <c r="O31" i="44"/>
  <c r="O32" i="44"/>
  <c r="O33" i="44"/>
  <c r="O11" i="44"/>
  <c r="O12" i="44"/>
  <c r="O13" i="44"/>
  <c r="O14" i="44"/>
  <c r="O15" i="44"/>
  <c r="O16" i="44"/>
  <c r="O17" i="44"/>
  <c r="O18" i="44"/>
  <c r="O19" i="44"/>
  <c r="O20" i="44"/>
  <c r="O22" i="44"/>
  <c r="O23" i="44"/>
  <c r="O24" i="44"/>
  <c r="O25" i="44"/>
  <c r="O26" i="44"/>
  <c r="N21" i="44"/>
  <c r="N27" i="44"/>
  <c r="N28" i="44"/>
  <c r="N29" i="44"/>
  <c r="N30" i="44"/>
  <c r="N31" i="44"/>
  <c r="N32" i="44"/>
  <c r="N33" i="44"/>
  <c r="N11" i="44"/>
  <c r="N12" i="44"/>
  <c r="N13" i="44"/>
  <c r="N14" i="44"/>
  <c r="N15" i="44"/>
  <c r="N16" i="44"/>
  <c r="N17" i="44"/>
  <c r="N18" i="44"/>
  <c r="N19" i="44"/>
  <c r="N20" i="44"/>
  <c r="N22" i="44"/>
  <c r="N23" i="44"/>
  <c r="N24" i="44"/>
  <c r="N25" i="44"/>
  <c r="N26" i="44"/>
  <c r="M21" i="44"/>
  <c r="M27" i="44"/>
  <c r="M28" i="44"/>
  <c r="M29" i="44"/>
  <c r="M30" i="44"/>
  <c r="M31" i="44"/>
  <c r="M32" i="44"/>
  <c r="M33" i="44"/>
  <c r="M11" i="44"/>
  <c r="M12" i="44"/>
  <c r="M13" i="44"/>
  <c r="M14" i="44"/>
  <c r="M15" i="44"/>
  <c r="M16" i="44"/>
  <c r="M17" i="44"/>
  <c r="M18" i="44"/>
  <c r="M19" i="44"/>
  <c r="M20" i="44"/>
  <c r="M22" i="44"/>
  <c r="M23" i="44"/>
  <c r="M24" i="44"/>
  <c r="M25" i="44"/>
  <c r="M26" i="44"/>
  <c r="L21" i="44"/>
  <c r="L27" i="44"/>
  <c r="L28" i="44"/>
  <c r="L29" i="44"/>
  <c r="L30" i="44"/>
  <c r="L31" i="44"/>
  <c r="L32" i="44"/>
  <c r="L33" i="44"/>
  <c r="L11" i="44"/>
  <c r="L12" i="44"/>
  <c r="L13" i="44"/>
  <c r="L14" i="44"/>
  <c r="L15" i="44"/>
  <c r="L16" i="44"/>
  <c r="L17" i="44"/>
  <c r="L18" i="44"/>
  <c r="L19" i="44"/>
  <c r="L20" i="44"/>
  <c r="L22" i="44"/>
  <c r="L23" i="44"/>
  <c r="L24" i="44"/>
  <c r="L25" i="44"/>
  <c r="L26" i="44"/>
  <c r="K21" i="44"/>
  <c r="K27" i="44"/>
  <c r="K28" i="44"/>
  <c r="K29" i="44"/>
  <c r="K30" i="44"/>
  <c r="K31" i="44"/>
  <c r="K32" i="44"/>
  <c r="K33" i="44"/>
  <c r="K11" i="44"/>
  <c r="K12" i="44"/>
  <c r="K13" i="44"/>
  <c r="K14" i="44"/>
  <c r="K15" i="44"/>
  <c r="K16" i="44"/>
  <c r="K17" i="44"/>
  <c r="K18" i="44"/>
  <c r="K19" i="44"/>
  <c r="K20" i="44"/>
  <c r="K22" i="44"/>
  <c r="K23" i="44"/>
  <c r="K24" i="44"/>
  <c r="K25" i="44"/>
  <c r="K26" i="44"/>
  <c r="J21" i="44"/>
  <c r="J27" i="44"/>
  <c r="J28" i="44"/>
  <c r="J29" i="44"/>
  <c r="J30" i="44"/>
  <c r="J31" i="44"/>
  <c r="J32" i="44"/>
  <c r="J33" i="44"/>
  <c r="J11" i="44"/>
  <c r="J12" i="44"/>
  <c r="J13" i="44"/>
  <c r="J14" i="44"/>
  <c r="J15" i="44"/>
  <c r="J16" i="44"/>
  <c r="J17" i="44"/>
  <c r="J18" i="44"/>
  <c r="J19" i="44"/>
  <c r="J20" i="44"/>
  <c r="J22" i="44"/>
  <c r="J23" i="44"/>
  <c r="J24" i="44"/>
  <c r="J25" i="44"/>
  <c r="J26" i="44"/>
  <c r="I21" i="44"/>
  <c r="I27" i="44"/>
  <c r="I28" i="44"/>
  <c r="I29" i="44"/>
  <c r="I30" i="44"/>
  <c r="I31" i="44"/>
  <c r="I32" i="44"/>
  <c r="I33" i="44"/>
  <c r="I11" i="44"/>
  <c r="I12" i="44"/>
  <c r="I13" i="44"/>
  <c r="I14" i="44"/>
  <c r="I15" i="44"/>
  <c r="I16" i="44"/>
  <c r="I17" i="44"/>
  <c r="I18" i="44"/>
  <c r="I19" i="44"/>
  <c r="I20" i="44"/>
  <c r="I22" i="44"/>
  <c r="I23" i="44"/>
  <c r="I24" i="44"/>
  <c r="I25" i="44"/>
  <c r="I26" i="44"/>
  <c r="H21" i="44"/>
  <c r="H27" i="44"/>
  <c r="H28" i="44"/>
  <c r="H29" i="44"/>
  <c r="H30" i="44"/>
  <c r="H31" i="44"/>
  <c r="H32" i="44"/>
  <c r="H33" i="44"/>
  <c r="H11" i="44"/>
  <c r="H12" i="44"/>
  <c r="H13" i="44"/>
  <c r="H14" i="44"/>
  <c r="H15" i="44"/>
  <c r="H16" i="44"/>
  <c r="H17" i="44"/>
  <c r="H18" i="44"/>
  <c r="H19" i="44"/>
  <c r="H20" i="44"/>
  <c r="H22" i="44"/>
  <c r="H23" i="44"/>
  <c r="H24" i="44"/>
  <c r="H25" i="44"/>
  <c r="H26" i="44"/>
  <c r="G21" i="44"/>
  <c r="G27" i="44"/>
  <c r="G28" i="44"/>
  <c r="G29" i="44"/>
  <c r="G30" i="44"/>
  <c r="G31" i="44"/>
  <c r="G32" i="44"/>
  <c r="G33" i="44"/>
  <c r="G11" i="44"/>
  <c r="G12" i="44"/>
  <c r="G13" i="44"/>
  <c r="G14" i="44"/>
  <c r="G15" i="44"/>
  <c r="G16" i="44"/>
  <c r="G17" i="44"/>
  <c r="G18" i="44"/>
  <c r="G19" i="44"/>
  <c r="G20" i="44"/>
  <c r="G22" i="44"/>
  <c r="G23" i="44"/>
  <c r="G24" i="44"/>
  <c r="G25" i="44"/>
  <c r="G26" i="44"/>
  <c r="F21" i="44"/>
  <c r="F27" i="44"/>
  <c r="F28" i="44"/>
  <c r="F29" i="44"/>
  <c r="F30" i="44"/>
  <c r="F31" i="44"/>
  <c r="F32" i="44"/>
  <c r="F33" i="44"/>
  <c r="F11" i="44"/>
  <c r="F12" i="44"/>
  <c r="F13" i="44"/>
  <c r="F14" i="44"/>
  <c r="F15" i="44"/>
  <c r="F16" i="44"/>
  <c r="F17" i="44"/>
  <c r="F18" i="44"/>
  <c r="F19" i="44"/>
  <c r="F20" i="44"/>
  <c r="F22" i="44"/>
  <c r="F23" i="44"/>
  <c r="F24" i="44"/>
  <c r="F25" i="44"/>
  <c r="F26" i="44"/>
  <c r="F10" i="44"/>
  <c r="G10" i="44"/>
  <c r="H10" i="44"/>
  <c r="I10" i="44"/>
  <c r="J10" i="44"/>
  <c r="K10" i="44"/>
  <c r="L10" i="44"/>
  <c r="M10" i="44"/>
  <c r="N10" i="44"/>
  <c r="O10" i="44"/>
  <c r="P10" i="44"/>
  <c r="Q10" i="44"/>
  <c r="R10" i="44"/>
  <c r="S10" i="44"/>
  <c r="T10" i="44"/>
  <c r="U10" i="44"/>
  <c r="V10" i="44"/>
  <c r="W10" i="44"/>
  <c r="X10" i="44"/>
  <c r="Y10" i="44"/>
  <c r="Z10" i="44"/>
  <c r="AA10" i="44"/>
  <c r="AB10" i="44"/>
  <c r="AC10" i="44"/>
  <c r="AD10" i="44"/>
  <c r="AE10" i="44"/>
  <c r="AF10" i="44"/>
  <c r="AG10" i="44"/>
  <c r="AH10" i="44"/>
  <c r="AI10" i="44"/>
  <c r="AJ10" i="44"/>
  <c r="AK10" i="44"/>
  <c r="AL10" i="44"/>
  <c r="AM10" i="44"/>
  <c r="E10" i="44"/>
  <c r="E21" i="44"/>
  <c r="E27" i="44"/>
  <c r="E28" i="44"/>
  <c r="E29" i="44"/>
  <c r="E30" i="44"/>
  <c r="E31" i="44"/>
  <c r="E32" i="44"/>
  <c r="E33" i="44"/>
  <c r="E11" i="44"/>
  <c r="E12" i="44"/>
  <c r="E13" i="44"/>
  <c r="E14" i="44"/>
  <c r="E15" i="44"/>
  <c r="E16" i="44"/>
  <c r="E17" i="44"/>
  <c r="E18" i="44"/>
  <c r="E19" i="44"/>
  <c r="E20" i="44"/>
  <c r="E22" i="44"/>
  <c r="E23" i="44"/>
  <c r="E24" i="44"/>
  <c r="E25" i="44"/>
  <c r="E26" i="44"/>
  <c r="G10" i="38"/>
  <c r="H10" i="38"/>
  <c r="I10" i="38"/>
  <c r="J10" i="38"/>
  <c r="K10" i="38"/>
  <c r="L10" i="38"/>
  <c r="M10" i="38"/>
  <c r="N10" i="38"/>
  <c r="O10" i="38"/>
  <c r="P10" i="38"/>
  <c r="Q10" i="38"/>
  <c r="R10" i="38"/>
  <c r="S10" i="38"/>
  <c r="T10" i="38"/>
  <c r="U10" i="38"/>
  <c r="V10" i="38"/>
  <c r="W10" i="38"/>
  <c r="X10" i="38"/>
  <c r="Y10" i="38"/>
  <c r="Z10" i="38"/>
  <c r="AA10" i="38"/>
  <c r="AB10" i="38"/>
  <c r="AC10" i="38"/>
  <c r="AD10" i="38"/>
  <c r="AE10" i="38"/>
  <c r="AF10" i="38"/>
  <c r="AG10" i="38"/>
  <c r="AH10" i="38"/>
  <c r="AI10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U21" i="38"/>
  <c r="V21" i="38"/>
  <c r="W21" i="38"/>
  <c r="X21" i="38"/>
  <c r="Y21" i="38"/>
  <c r="Z21" i="38"/>
  <c r="AA21" i="38"/>
  <c r="AB21" i="38"/>
  <c r="AC21" i="38"/>
  <c r="AD21" i="38"/>
  <c r="AE21" i="38"/>
  <c r="AF21" i="38"/>
  <c r="AG21" i="38"/>
  <c r="AH21" i="38"/>
  <c r="AI21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U27" i="38"/>
  <c r="V27" i="38"/>
  <c r="W27" i="38"/>
  <c r="X27" i="38"/>
  <c r="Y27" i="38"/>
  <c r="Z27" i="38"/>
  <c r="AA27" i="38"/>
  <c r="AB27" i="38"/>
  <c r="AC27" i="38"/>
  <c r="AD27" i="38"/>
  <c r="AE27" i="38"/>
  <c r="AF27" i="38"/>
  <c r="AG27" i="38"/>
  <c r="AH27" i="38"/>
  <c r="AI27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U28" i="38"/>
  <c r="V28" i="38"/>
  <c r="W28" i="38"/>
  <c r="X28" i="38"/>
  <c r="Y28" i="38"/>
  <c r="Z28" i="38"/>
  <c r="AA28" i="38"/>
  <c r="AB28" i="38"/>
  <c r="AC28" i="38"/>
  <c r="AD28" i="38"/>
  <c r="AE28" i="38"/>
  <c r="AF28" i="38"/>
  <c r="AG28" i="38"/>
  <c r="AH28" i="38"/>
  <c r="AI28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U29" i="38"/>
  <c r="V29" i="38"/>
  <c r="W29" i="38"/>
  <c r="X29" i="38"/>
  <c r="Y29" i="38"/>
  <c r="Z29" i="38"/>
  <c r="AA29" i="38"/>
  <c r="AB29" i="38"/>
  <c r="AC29" i="38"/>
  <c r="AD29" i="38"/>
  <c r="AE29" i="38"/>
  <c r="AF29" i="38"/>
  <c r="AG29" i="38"/>
  <c r="AH29" i="38"/>
  <c r="AI29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T30" i="38"/>
  <c r="U30" i="38"/>
  <c r="V30" i="38"/>
  <c r="W30" i="38"/>
  <c r="X30" i="38"/>
  <c r="Y30" i="38"/>
  <c r="Z30" i="38"/>
  <c r="AA30" i="38"/>
  <c r="AB30" i="38"/>
  <c r="AC30" i="38"/>
  <c r="AD30" i="38"/>
  <c r="AE30" i="38"/>
  <c r="AF30" i="38"/>
  <c r="AG30" i="38"/>
  <c r="AH30" i="38"/>
  <c r="AI30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U31" i="38"/>
  <c r="V31" i="38"/>
  <c r="W31" i="38"/>
  <c r="X31" i="38"/>
  <c r="Y31" i="38"/>
  <c r="Z31" i="38"/>
  <c r="AA31" i="38"/>
  <c r="AB31" i="38"/>
  <c r="AC31" i="38"/>
  <c r="AD31" i="38"/>
  <c r="AE31" i="38"/>
  <c r="AF31" i="38"/>
  <c r="AG31" i="38"/>
  <c r="AH31" i="38"/>
  <c r="AI31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U32" i="38"/>
  <c r="V32" i="38"/>
  <c r="W32" i="38"/>
  <c r="X32" i="38"/>
  <c r="Y32" i="38"/>
  <c r="Z32" i="38"/>
  <c r="AA32" i="38"/>
  <c r="AB32" i="38"/>
  <c r="AC32" i="38"/>
  <c r="AD32" i="38"/>
  <c r="AE32" i="38"/>
  <c r="AF32" i="38"/>
  <c r="AG32" i="38"/>
  <c r="AH32" i="38"/>
  <c r="AI32" i="38"/>
  <c r="G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T33" i="38"/>
  <c r="U33" i="38"/>
  <c r="V33" i="38"/>
  <c r="W33" i="38"/>
  <c r="X33" i="38"/>
  <c r="Y33" i="38"/>
  <c r="Z33" i="38"/>
  <c r="AA33" i="38"/>
  <c r="AB33" i="38"/>
  <c r="AC33" i="38"/>
  <c r="AD33" i="38"/>
  <c r="AE33" i="38"/>
  <c r="AF33" i="38"/>
  <c r="AG33" i="38"/>
  <c r="AH33" i="38"/>
  <c r="AI33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U11" i="38"/>
  <c r="V11" i="38"/>
  <c r="W11" i="38"/>
  <c r="X11" i="38"/>
  <c r="Y11" i="38"/>
  <c r="Z11" i="38"/>
  <c r="AA11" i="38"/>
  <c r="AB11" i="38"/>
  <c r="AC11" i="38"/>
  <c r="AD11" i="38"/>
  <c r="AE11" i="38"/>
  <c r="AF11" i="38"/>
  <c r="AG11" i="38"/>
  <c r="AH11" i="38"/>
  <c r="AI11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W12" i="38"/>
  <c r="X12" i="38"/>
  <c r="Y12" i="38"/>
  <c r="Z12" i="38"/>
  <c r="AA12" i="38"/>
  <c r="AB12" i="38"/>
  <c r="AC12" i="38"/>
  <c r="AD12" i="38"/>
  <c r="AE12" i="38"/>
  <c r="AF12" i="38"/>
  <c r="AG12" i="38"/>
  <c r="AH12" i="38"/>
  <c r="AI12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U13" i="38"/>
  <c r="V13" i="38"/>
  <c r="W13" i="38"/>
  <c r="X13" i="38"/>
  <c r="Y13" i="38"/>
  <c r="Z13" i="38"/>
  <c r="AA13" i="38"/>
  <c r="AB13" i="38"/>
  <c r="AC13" i="38"/>
  <c r="AD13" i="38"/>
  <c r="AE13" i="38"/>
  <c r="AF13" i="38"/>
  <c r="AG13" i="38"/>
  <c r="AH13" i="38"/>
  <c r="AI13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W14" i="38"/>
  <c r="X14" i="38"/>
  <c r="Y14" i="38"/>
  <c r="Z14" i="38"/>
  <c r="AA14" i="38"/>
  <c r="AB14" i="38"/>
  <c r="AC14" i="38"/>
  <c r="AD14" i="38"/>
  <c r="AE14" i="38"/>
  <c r="AF14" i="38"/>
  <c r="AG14" i="38"/>
  <c r="AH14" i="38"/>
  <c r="AI14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U15" i="38"/>
  <c r="V15" i="38"/>
  <c r="W15" i="38"/>
  <c r="X15" i="38"/>
  <c r="Y15" i="38"/>
  <c r="Z15" i="38"/>
  <c r="AA15" i="38"/>
  <c r="AB15" i="38"/>
  <c r="AC15" i="38"/>
  <c r="AD15" i="38"/>
  <c r="AE15" i="38"/>
  <c r="AF15" i="38"/>
  <c r="AG15" i="38"/>
  <c r="AH15" i="38"/>
  <c r="AI15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U16" i="38"/>
  <c r="V16" i="38"/>
  <c r="W16" i="38"/>
  <c r="X16" i="38"/>
  <c r="Y16" i="38"/>
  <c r="Z16" i="38"/>
  <c r="AA16" i="38"/>
  <c r="AB16" i="38"/>
  <c r="AC16" i="38"/>
  <c r="AD16" i="38"/>
  <c r="AE16" i="38"/>
  <c r="AF16" i="38"/>
  <c r="AG16" i="38"/>
  <c r="AH16" i="38"/>
  <c r="AI16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U17" i="38"/>
  <c r="V17" i="38"/>
  <c r="W17" i="38"/>
  <c r="X17" i="38"/>
  <c r="Y17" i="38"/>
  <c r="Z17" i="38"/>
  <c r="AA17" i="38"/>
  <c r="AB17" i="38"/>
  <c r="AC17" i="38"/>
  <c r="AD17" i="38"/>
  <c r="AE17" i="38"/>
  <c r="AF17" i="38"/>
  <c r="AG17" i="38"/>
  <c r="AH17" i="38"/>
  <c r="AI17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W18" i="38"/>
  <c r="X18" i="38"/>
  <c r="Y18" i="38"/>
  <c r="Z18" i="38"/>
  <c r="AA18" i="38"/>
  <c r="AB18" i="38"/>
  <c r="AC18" i="38"/>
  <c r="AD18" i="38"/>
  <c r="AE18" i="38"/>
  <c r="AF18" i="38"/>
  <c r="AG18" i="38"/>
  <c r="AH18" i="38"/>
  <c r="AI18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W19" i="38"/>
  <c r="X19" i="38"/>
  <c r="Y19" i="38"/>
  <c r="Z19" i="38"/>
  <c r="AA19" i="38"/>
  <c r="AB19" i="38"/>
  <c r="AC19" i="38"/>
  <c r="AD19" i="38"/>
  <c r="AE19" i="38"/>
  <c r="AF19" i="38"/>
  <c r="AG19" i="38"/>
  <c r="AH19" i="38"/>
  <c r="AI19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X20" i="38"/>
  <c r="Y20" i="38"/>
  <c r="Z20" i="38"/>
  <c r="AA20" i="38"/>
  <c r="AB20" i="38"/>
  <c r="AC20" i="38"/>
  <c r="AD20" i="38"/>
  <c r="AE20" i="38"/>
  <c r="AF20" i="38"/>
  <c r="AG20" i="38"/>
  <c r="AH20" i="38"/>
  <c r="AI20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U22" i="38"/>
  <c r="V22" i="38"/>
  <c r="W22" i="38"/>
  <c r="X22" i="38"/>
  <c r="Y22" i="38"/>
  <c r="Z22" i="38"/>
  <c r="AA22" i="38"/>
  <c r="AB22" i="38"/>
  <c r="AC22" i="38"/>
  <c r="AD22" i="38"/>
  <c r="AE22" i="38"/>
  <c r="AF22" i="38"/>
  <c r="AG22" i="38"/>
  <c r="AH22" i="38"/>
  <c r="AI22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U23" i="38"/>
  <c r="V23" i="38"/>
  <c r="W23" i="38"/>
  <c r="X23" i="38"/>
  <c r="Y23" i="38"/>
  <c r="Z23" i="38"/>
  <c r="AA23" i="38"/>
  <c r="AB23" i="38"/>
  <c r="AC23" i="38"/>
  <c r="AD23" i="38"/>
  <c r="AE23" i="38"/>
  <c r="AF23" i="38"/>
  <c r="AG23" i="38"/>
  <c r="AH23" i="38"/>
  <c r="AI23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U24" i="38"/>
  <c r="V24" i="38"/>
  <c r="W24" i="38"/>
  <c r="X24" i="38"/>
  <c r="Y24" i="38"/>
  <c r="Z24" i="38"/>
  <c r="AA24" i="38"/>
  <c r="AB24" i="38"/>
  <c r="AC24" i="38"/>
  <c r="AD24" i="38"/>
  <c r="AE24" i="38"/>
  <c r="AF24" i="38"/>
  <c r="AG24" i="38"/>
  <c r="AH24" i="38"/>
  <c r="AI24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U25" i="38"/>
  <c r="V25" i="38"/>
  <c r="W25" i="38"/>
  <c r="X25" i="38"/>
  <c r="Y25" i="38"/>
  <c r="Z25" i="38"/>
  <c r="AA25" i="38"/>
  <c r="AB25" i="38"/>
  <c r="AC25" i="38"/>
  <c r="AD25" i="38"/>
  <c r="AE25" i="38"/>
  <c r="AF25" i="38"/>
  <c r="AG25" i="38"/>
  <c r="AH25" i="38"/>
  <c r="AI25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U26" i="38"/>
  <c r="V26" i="38"/>
  <c r="W26" i="38"/>
  <c r="X26" i="38"/>
  <c r="Y26" i="38"/>
  <c r="Z26" i="38"/>
  <c r="AA26" i="38"/>
  <c r="AB26" i="38"/>
  <c r="AC26" i="38"/>
  <c r="AD26" i="38"/>
  <c r="AE26" i="38"/>
  <c r="AF26" i="38"/>
  <c r="AG26" i="38"/>
  <c r="AH26" i="38"/>
  <c r="AI26" i="38"/>
  <c r="F21" i="38"/>
  <c r="F27" i="38"/>
  <c r="F28" i="38"/>
  <c r="F29" i="38"/>
  <c r="F30" i="38"/>
  <c r="F31" i="38"/>
  <c r="F32" i="38"/>
  <c r="F33" i="38"/>
  <c r="F11" i="38"/>
  <c r="F12" i="38"/>
  <c r="F13" i="38"/>
  <c r="F14" i="38"/>
  <c r="F15" i="38"/>
  <c r="F16" i="38"/>
  <c r="F17" i="38"/>
  <c r="F18" i="38"/>
  <c r="F19" i="38"/>
  <c r="F20" i="38"/>
  <c r="F22" i="38"/>
  <c r="F23" i="38"/>
  <c r="F24" i="38"/>
  <c r="F25" i="38"/>
  <c r="F26" i="38"/>
  <c r="F10" i="38"/>
  <c r="E10" i="32"/>
  <c r="L32" i="51" l="1"/>
  <c r="L16" i="51"/>
  <c r="L10" i="51"/>
  <c r="L30" i="51"/>
  <c r="L24" i="51"/>
  <c r="L22" i="51"/>
  <c r="L14" i="53"/>
  <c r="L31" i="53"/>
  <c r="L27" i="53"/>
  <c r="L10" i="53"/>
  <c r="L17" i="53"/>
  <c r="L32" i="53"/>
  <c r="L30" i="53"/>
  <c r="L28" i="53"/>
  <c r="L24" i="53"/>
  <c r="L22" i="53"/>
  <c r="L20" i="53"/>
  <c r="L16" i="53"/>
  <c r="L21" i="53"/>
  <c r="L27" i="52"/>
  <c r="L14" i="52"/>
  <c r="L25" i="52"/>
  <c r="L12" i="52"/>
  <c r="L32" i="52"/>
  <c r="L33" i="52"/>
  <c r="L22" i="52"/>
  <c r="L20" i="52"/>
  <c r="L30" i="52"/>
  <c r="L28" i="52"/>
  <c r="L19" i="52"/>
  <c r="L21" i="52"/>
  <c r="L17" i="52"/>
  <c r="L24" i="52"/>
  <c r="L11" i="52"/>
  <c r="X32" i="45"/>
  <c r="Z12" i="45"/>
  <c r="Z13" i="45"/>
  <c r="Z11" i="45"/>
  <c r="Z10" i="45"/>
  <c r="Z14" i="45"/>
  <c r="Z8" i="45"/>
  <c r="Z20" i="45"/>
  <c r="Z18" i="45"/>
  <c r="Z19" i="45"/>
  <c r="Z15" i="45"/>
  <c r="Z21" i="45"/>
  <c r="Z22" i="45"/>
  <c r="Z23" i="45"/>
  <c r="Z5" i="45"/>
  <c r="Z9" i="45"/>
  <c r="Z24" i="45"/>
  <c r="Z16" i="45"/>
  <c r="Z25" i="45"/>
  <c r="Z17" i="45"/>
  <c r="Z26" i="45"/>
  <c r="Z7" i="45"/>
  <c r="Z6" i="45"/>
  <c r="Z4" i="45"/>
  <c r="Y12" i="45"/>
  <c r="Y13" i="45"/>
  <c r="Y11" i="45"/>
  <c r="Y10" i="45"/>
  <c r="Y14" i="45"/>
  <c r="Y8" i="45"/>
  <c r="Y20" i="45"/>
  <c r="Y18" i="45"/>
  <c r="Y19" i="45"/>
  <c r="Y15" i="45"/>
  <c r="Y21" i="45"/>
  <c r="Y22" i="45"/>
  <c r="Y23" i="45"/>
  <c r="Y5" i="45"/>
  <c r="Y9" i="45"/>
  <c r="Y24" i="45"/>
  <c r="Y16" i="45"/>
  <c r="Y25" i="45"/>
  <c r="Y17" i="45"/>
  <c r="Y26" i="45"/>
  <c r="Y7" i="45"/>
  <c r="Y6" i="45"/>
  <c r="Y3" i="45"/>
  <c r="Y4" i="4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9DA7E8-2500-D94F-9F48-A2A13E08B681}" keepAlive="1" name="Query - G1" description="Connection to the 'G1' query in the workbook." type="5" refreshedVersion="8" background="1" saveData="1">
    <dbPr connection="Provider=Microsoft.Mashup.OleDb.1;Data Source=$Workbook$;Location=G1;Extended Properties=&quot;&quot;" command="SELECT * FROM [G1]"/>
  </connection>
  <connection id="2" xr16:uid="{0C97B6D1-5209-034B-9017-10D07DCFD24A}" keepAlive="1" name="Query - G2" description="Connection to the 'G2' query in the workbook." type="5" refreshedVersion="8" background="1" saveData="1">
    <dbPr connection="Provider=Microsoft.Mashup.OleDb.1;Data Source=$Workbook$;Location=G2;Extended Properties=&quot;&quot;" command="SELECT * FROM [G2]"/>
  </connection>
  <connection id="3" xr16:uid="{20BFBB65-0809-6248-8946-CCD38B40B0C3}" keepAlive="1" name="Query - G3" description="Connection to the 'G3' query in the workbook." type="5" refreshedVersion="8" background="1" saveData="1">
    <dbPr connection="Provider=Microsoft.Mashup.OleDb.1;Data Source=$Workbook$;Location=G3;Extended Properties=&quot;&quot;" command="SELECT * FROM [G3]"/>
  </connection>
  <connection id="4" xr16:uid="{4383ED30-7F9C-E24B-A4A9-9EDC561E37BB}" keepAlive="1" name="Query - G4" description="Connection to the 'G4' query in the workbook." type="5" refreshedVersion="8" background="1" saveData="1">
    <dbPr connection="Provider=Microsoft.Mashup.OleDb.1;Data Source=$Workbook$;Location=G4;Extended Properties=&quot;&quot;" command="SELECT * FROM [G4]"/>
  </connection>
  <connection id="5" xr16:uid="{45BAC0B9-98A3-AE48-9478-F5EC4149FF65}" keepAlive="1" name="Query - G5" description="Connection to the 'G5' query in the workbook." type="5" refreshedVersion="8" background="1" saveData="1">
    <dbPr connection="Provider=Microsoft.Mashup.OleDb.1;Data Source=$Workbook$;Location=G5;Extended Properties=&quot;&quot;" command="SELECT * FROM [G5]"/>
  </connection>
  <connection id="6" xr16:uid="{9A515088-1053-B54C-8F18-1A559DB0105B}" keepAlive="1" name="Query - M1" description="Connection to the 'M1' query in the workbook." type="5" refreshedVersion="8" background="1" saveData="1">
    <dbPr connection="Provider=Microsoft.Mashup.OleDb.1;Data Source=$Workbook$;Location=M1;Extended Properties=&quot;&quot;" command="SELECT * FROM [M1]"/>
  </connection>
  <connection id="7" xr16:uid="{211594F5-9C0A-B243-B7E8-E11B2DF91AE2}" keepAlive="1" name="Query - M2" description="Connection to the 'M2' query in the workbook." type="5" refreshedVersion="8" background="1" saveData="1">
    <dbPr connection="Provider=Microsoft.Mashup.OleDb.1;Data Source=$Workbook$;Location=M2;Extended Properties=&quot;&quot;" command="SELECT * FROM [M2]"/>
  </connection>
  <connection id="8" xr16:uid="{B9B4FC40-3901-CE47-9456-8AD61B5D4739}" keepAlive="1" name="Query - M3" description="Connection to the 'M3' query in the workbook." type="5" refreshedVersion="8" background="1" saveData="1">
    <dbPr connection="Provider=Microsoft.Mashup.OleDb.1;Data Source=$Workbook$;Location=M3;Extended Properties=&quot;&quot;" command="SELECT * FROM [M3]"/>
  </connection>
  <connection id="9" xr16:uid="{B9D7E196-F02C-0D47-B117-88741C5F99F0}" keepAlive="1" name="Query - M4" description="Connection to the 'M4' query in the workbook." type="5" refreshedVersion="8" background="1" saveData="1">
    <dbPr connection="Provider=Microsoft.Mashup.OleDb.1;Data Source=$Workbook$;Location=M4;Extended Properties=&quot;&quot;" command="SELECT * FROM [M4]"/>
  </connection>
  <connection id="10" xr16:uid="{32791419-F77E-6445-AC70-C3C3F8207A1F}" keepAlive="1" name="Query - M5" description="Connection to the 'M5' query in the workbook." type="5" refreshedVersion="8" background="1" saveData="1">
    <dbPr connection="Provider=Microsoft.Mashup.OleDb.1;Data Source=$Workbook$;Location=M5;Extended Properties=&quot;&quot;" command="SELECT * FROM [M5]"/>
  </connection>
</connections>
</file>

<file path=xl/sharedStrings.xml><?xml version="1.0" encoding="utf-8"?>
<sst xmlns="http://schemas.openxmlformats.org/spreadsheetml/2006/main" count="5304" uniqueCount="216">
  <si>
    <t>Session: untitled</t>
  </si>
  <si>
    <t>Training Data: Excel_MultiModal_Dataset1    Observations: 10820</t>
  </si>
  <si>
    <t>Predictors: 10    Predictor Names: body_temperature, sleep_quality, muscle_activity, step_count, ground_reaction_force, altitude, training_load, fatigue_index, sport_type, age</t>
  </si>
  <si>
    <t>Response Name: injury_occurred    Response Classes: 2    Response Class Names: 0, 1</t>
  </si>
  <si>
    <t>Validation: 5-fold cross-validation</t>
  </si>
  <si>
    <t>Test Data: Excel_MultiModal_Dataset1    Observations: 1909</t>
  </si>
  <si>
    <t>Favorite</t>
  </si>
  <si>
    <t>Model Number</t>
  </si>
  <si>
    <t>Status</t>
  </si>
  <si>
    <t>Model Type</t>
  </si>
  <si>
    <t>Accuracy % (Validation)</t>
  </si>
  <si>
    <t>Total Cost (Validation)</t>
  </si>
  <si>
    <t>Error Rate % (Validation)</t>
  </si>
  <si>
    <t>Macro Precision % (Validation)</t>
  </si>
  <si>
    <t>Micro Precision % (Validation)</t>
  </si>
  <si>
    <t>Weighted Precision % (Validation)</t>
  </si>
  <si>
    <t>Macro Recall % (Validation)</t>
  </si>
  <si>
    <t>Micro Recall % (Validation)</t>
  </si>
  <si>
    <t>Weighted Recall % (Validation)</t>
  </si>
  <si>
    <t>Macro F1 Score % (Validation)</t>
  </si>
  <si>
    <t>Micro F1 Score % (Validation)</t>
  </si>
  <si>
    <t>Weighted F1 Score % (Validation)</t>
  </si>
  <si>
    <t>Accuracy % (Test)</t>
  </si>
  <si>
    <t>Total Cost (Test)</t>
  </si>
  <si>
    <t>Error Rate % (Test)</t>
  </si>
  <si>
    <t>Macro Precision % (Test)</t>
  </si>
  <si>
    <t>Micro Precision % (Test)</t>
  </si>
  <si>
    <t>Weighted Precision % (Test)</t>
  </si>
  <si>
    <t>Macro Recall % (Test)</t>
  </si>
  <si>
    <t>Micro Recall % (Test)</t>
  </si>
  <si>
    <t>Weighted Recall % (Test)</t>
  </si>
  <si>
    <t>Macro F1 Score % (Test)</t>
  </si>
  <si>
    <t>Micro F1 Score % (Test)</t>
  </si>
  <si>
    <t>Weighted F1 Score % (Test)</t>
  </si>
  <si>
    <t>Prediction Speed (obs/sec)</t>
  </si>
  <si>
    <t>Training Time (sec)</t>
  </si>
  <si>
    <t>Compact Model Size (bytes)</t>
  </si>
  <si>
    <t>Coder Model Size (bytes)</t>
  </si>
  <si>
    <t>Hyperparameters</t>
  </si>
  <si>
    <t>Selected Features</t>
  </si>
  <si>
    <t>Feature Ranking Algorithm</t>
  </si>
  <si>
    <t>PCA</t>
  </si>
  <si>
    <t>Costs</t>
  </si>
  <si>
    <t>Optimizer Options</t>
  </si>
  <si>
    <t>Tested</t>
  </si>
  <si>
    <t>Tree</t>
  </si>
  <si>
    <t>Maximum number of splits: 100; Split criterion: Gini's diversity index; Surrogate decision splits: Off</t>
  </si>
  <si>
    <t>None</t>
  </si>
  <si>
    <t>Disabled</t>
  </si>
  <si>
    <t>Default</t>
  </si>
  <si>
    <t>Not applicable</t>
  </si>
  <si>
    <t>SVM</t>
  </si>
  <si>
    <t>NaN</t>
  </si>
  <si>
    <t>Kernel function: Quadratic; Kernel scale: Automatic; Box constraint level: 1; Multiclass coding: One-vs-One; Standardize data: Yes</t>
  </si>
  <si>
    <t>Kernel function: Cubic; Kernel scale: Automatic; Box constraint level: 1; Multiclass coding: One-vs-One; Standardize data: Yes</t>
  </si>
  <si>
    <t>Kernel function: Gaussian; Kernel scale: 0.79; Box constraint level: 1; Multiclass coding: One-vs-One; Standardize data: Yes</t>
  </si>
  <si>
    <t>Kernel function: Gaussian; Kernel scale: 3.2; Box constraint level: 1; Multiclass coding: One-vs-One; Standardize data: Yes</t>
  </si>
  <si>
    <t>Kernel function: Gaussian; Kernel scale: 13; Box constraint level: 1; Multiclass coding: One-vs-One; Standardize data: Yes</t>
  </si>
  <si>
    <t>Ensemble</t>
  </si>
  <si>
    <t>Ensemble method: AdaBoost; Learner type: Decision tree; Maximum number of splits: 20; Number of learners: 30; Learning rate: 0.1; Number of predictors to sample: Select All</t>
  </si>
  <si>
    <t>Ensemble method: Bag; Learner type: Decision tree; Maximum number of splits: 10819; Number of learners: 30; Number of predictors to sample: Select All</t>
  </si>
  <si>
    <t>Ensemble method: RUSBoost; Learner type: Decision tree; Maximum number of splits: 20; Number of learners: 30; Learning rate: 0.1; Number of predictors to sample: Select All</t>
  </si>
  <si>
    <t>Neural Network</t>
  </si>
  <si>
    <t>Number of fully connected layers: 1; First layer size: 10; Activation: ReLU; Iteration limit: 1000; Regularization strength (Lambda): 0; Standardize data: Yes</t>
  </si>
  <si>
    <t>Number of fully connected layers: 1; First layer size: 25; Activation: ReLU; Iteration limit: 1000; Regularization strength (Lambda): 0; Standardize data: Yes</t>
  </si>
  <si>
    <t>Maximum number of splits: 20; Split criterion: Gini's diversity index; Surrogate decision splits: Off</t>
  </si>
  <si>
    <t>Number of fully connected layers: 1; First layer size: 100; Activation: ReLU; Iteration limit: 1000; Regularization strength (Lambda): 0; Standardize data: Yes</t>
  </si>
  <si>
    <t>Number of fully connected layers: 2; First layer size: 10; Second layer size: 10; Activation: ReLU; Iteration limit: 1000; Regularization strength (Lambda): 0; Standardize data: Yes</t>
  </si>
  <si>
    <t>Number of fully connected layers: 3; First layer size: 10; Second layer size: 10; Third layer size: 10; Activation: ReLU; Iteration limit: 1000; Regularization strength (Lambda): 0; Standardize data: Yes</t>
  </si>
  <si>
    <t>Kernel</t>
  </si>
  <si>
    <t>Learner: SVM; Number of expansion dimensions: Auto; Regularization strength (Lambda): Auto; Kernel scale: Auto; Multiclass coding: One-vs-One; Standardize data: Yes; Iteration limit: 1000</t>
  </si>
  <si>
    <t>Learner: Logistic Regression; Number of expansion dimensions: Auto; Regularization strength (Lambda): Auto; Kernel scale: Auto; Multiclass coding: One-vs-One; Standardize data: Yes; Iteration limit: 1000</t>
  </si>
  <si>
    <t>Maximum number of splits: 4; Split criterion: Gini's diversity index; Surrogate decision splits: Off</t>
  </si>
  <si>
    <t>Binary GLM Logistic Regression</t>
  </si>
  <si>
    <t>Efficient Logistic Regression</t>
  </si>
  <si>
    <t>Learner: Logistic regression; Solver: Auto; Regularization: Auto; Regularization strength (Lambda): Auto; Relative coefficient tolerance (Beta tolerance): 0.0001; Multiclass coding: One-vs-One</t>
  </si>
  <si>
    <t>Efficient Linear SVM</t>
  </si>
  <si>
    <t>Learner: SVM; Solver: Auto; Regularization: Auto; Regularization strength (Lambda): Auto; Relative coefficient tolerance (Beta tolerance): 0.0001; Multiclass coding: One-vs-One</t>
  </si>
  <si>
    <t>Naive Bayes</t>
  </si>
  <si>
    <t>Distribution name for numeric predictors: Gaussian; Distribution name for categorical predictors: MVMN</t>
  </si>
  <si>
    <t>Distribution name for numeric predictors: Kernel; Distribution name for categorical predictors: MVMN; Kernel type: Gaussian; Support: Unbounded; Standardize data: Yes</t>
  </si>
  <si>
    <t>Kernel function: Linear; Kernel scale: Automatic; Box constraint level: 1; Multiclass coding: One-vs-One; Standardize data: Yes</t>
  </si>
  <si>
    <t>Preset</t>
  </si>
  <si>
    <t>Fine Tree</t>
  </si>
  <si>
    <t>Quadratic SVM</t>
  </si>
  <si>
    <t>Cubic SVM</t>
  </si>
  <si>
    <t>Fine Gaussian SVM</t>
  </si>
  <si>
    <t>Medium Gaussian SVM</t>
  </si>
  <si>
    <t>Coarse Gaussian SVM</t>
  </si>
  <si>
    <t>Boosted Trees</t>
  </si>
  <si>
    <t>Bagged Trees</t>
  </si>
  <si>
    <t>RUSBoosted Trees</t>
  </si>
  <si>
    <t>Narrow Neural Network</t>
  </si>
  <si>
    <t>Medium Neural Network</t>
  </si>
  <si>
    <t>Medium Tree</t>
  </si>
  <si>
    <t>Wide Neural Network</t>
  </si>
  <si>
    <t>Bilayered Neural Network</t>
  </si>
  <si>
    <t>Trilayered Neural Network</t>
  </si>
  <si>
    <t>SVM Kernel</t>
  </si>
  <si>
    <t>Logistic Regression Kernel</t>
  </si>
  <si>
    <t>Coarse Tree</t>
  </si>
  <si>
    <t>Gaussian Naive Bayes</t>
  </si>
  <si>
    <t>Kernel Naive Bayes</t>
  </si>
  <si>
    <t>Linear SVM</t>
  </si>
  <si>
    <t>MEDIAN('V1'!F10,'V2'!F10,'V3'!F10,'V4'!F10,'V5'!F10)</t>
  </si>
  <si>
    <t>Predictors: 18    Predictor Names: heart_rate, body_temperature, hydration_level, sleep_quality, stress_level, muscle_activity, joint_angles, gait_speed, cadence, step_count, jump_height, ground_reaction_force, altitude, training_load, fatigue_index, sport_type, gender, age</t>
  </si>
  <si>
    <t>18/18</t>
  </si>
  <si>
    <t>Kernel function: Gaussian; Kernel scale: 1.1; Box constraint level: 1; Multiclass coding: One-vs-One; Standardize data: Yes</t>
  </si>
  <si>
    <t>Kernel function: Gaussian; Kernel scale: 4.2; Box constraint level: 1; Multiclass coding: One-vs-One; Standardize data: Yes</t>
  </si>
  <si>
    <t>Kernel function: Gaussian; Kernel scale: 17; Box constraint level: 1; Multiclass coding: One-vs-One; Standardize data: Yes</t>
  </si>
  <si>
    <t xml:space="preserve">
</t>
  </si>
  <si>
    <t>20/20</t>
  </si>
  <si>
    <t>Kernel function: Gaussian; Kernel scale: 4.5; Box constraint level: 1; Multiclass coding: One-vs-One; Standardize data: Yes</t>
  </si>
  <si>
    <t>Kernel function: Gaussian; Kernel scale: 18; Box constraint level: 1; Multiclass coding: One-vs-One; Standardize data: Yes</t>
  </si>
  <si>
    <t>Predictors: 20    Predictor Names: heart_rate, body_temperature, hydration_level, sleep_quality, stress_level, muscle_activity, joint_angles, gait_speed, cadence, step_count, jump_height, ground_reaction_force, range_of_motion, altitude, training_duration, training_load, fatigue_index, sport_type, gender, age</t>
  </si>
  <si>
    <t>Training Data: Excel_MultiModal_Dataset1    Observations: 10820</t>
  </si>
  <si>
    <t>Predictors: 25    Predictor Names: heart_rate, body_temperature, hydration_level, sleep_quality, stress_level, muscle_activity, joint_angles, gait_speed, cadence, step_count, jump_height, ground_reaction_force, range_of_motion, ambient_temperature, humidity, altitude, playing_surface, training_intensity, training_duration, training_load, fatigue_index, sport_type, gender, age, bmi</t>
  </si>
  <si>
    <t>Response Name: injury_occurred    Response Classes: 2    Response Class Names: 0, 1</t>
  </si>
  <si>
    <t>Test Data: Excel_MultiModal_Dataset1    Observations: 1909</t>
  </si>
  <si>
    <t>25/25</t>
  </si>
  <si>
    <t>Kernel function: Gaussian; Kernel scale: 1.3; Box constraint level: 1; Multiclass coding: One-vs-One; Standardize data: Yes</t>
  </si>
  <si>
    <t>Kernel function: Gaussian; Kernel scale: 5; Box constraint level: 1; Multiclass coding: One-vs-One; Standardize data: Yes</t>
  </si>
  <si>
    <t>Kernel function: Gaussian; Kernel scale: 20; Box constraint level: 1; Multiclass coding: One-vs-One; Standardize data: Yes</t>
  </si>
  <si>
    <t>Training Data: Excel_MultiModal_Dataset1    Observations: 11457</t>
  </si>
  <si>
    <t>Test Data: Excel_MultiModal_Dataset1    Observations: 1272</t>
  </si>
  <si>
    <t>Ensemble method: Bag; Learner type: Decision tree; Maximum number of splits: 11456; Number of learners: 30; Number of predictors to sample: Select All</t>
  </si>
  <si>
    <t>Accuracy</t>
  </si>
  <si>
    <t>Recall</t>
  </si>
  <si>
    <t>Precision</t>
  </si>
  <si>
    <t>Time</t>
  </si>
  <si>
    <t>Z Accuracy</t>
  </si>
  <si>
    <t>Z Recall</t>
  </si>
  <si>
    <t>Z Precision</t>
  </si>
  <si>
    <t>Z Time</t>
  </si>
  <si>
    <t>Overall Score</t>
  </si>
  <si>
    <t>Model Type and Number</t>
  </si>
  <si>
    <t>Feature Name</t>
  </si>
  <si>
    <t>MRMR</t>
  </si>
  <si>
    <t>Anova</t>
  </si>
  <si>
    <t>Chi2</t>
  </si>
  <si>
    <t>Kruskal Wallis</t>
  </si>
  <si>
    <t>Average Score</t>
  </si>
  <si>
    <t>Recovery Score</t>
  </si>
  <si>
    <t>Sleep_Quality</t>
  </si>
  <si>
    <t>Fatigue_Index</t>
  </si>
  <si>
    <t>training_load</t>
  </si>
  <si>
    <t>Gender</t>
  </si>
  <si>
    <t>hydration_level</t>
  </si>
  <si>
    <t>Playing_Surface</t>
  </si>
  <si>
    <t>altitude</t>
  </si>
  <si>
    <t>stress_level</t>
  </si>
  <si>
    <t>joint_angles</t>
  </si>
  <si>
    <t>training_intensity</t>
  </si>
  <si>
    <t>body_temperature</t>
  </si>
  <si>
    <t>gait_speed</t>
  </si>
  <si>
    <t>sport_type</t>
  </si>
  <si>
    <t>muscle_activity</t>
  </si>
  <si>
    <t>training_duration</t>
  </si>
  <si>
    <t>age</t>
  </si>
  <si>
    <t>heart_rate</t>
  </si>
  <si>
    <t>humidity</t>
  </si>
  <si>
    <t>ambient_temperature</t>
  </si>
  <si>
    <t>range_of_motion</t>
  </si>
  <si>
    <t>bmi</t>
  </si>
  <si>
    <t>athlete_id</t>
  </si>
  <si>
    <t>Session_Id</t>
  </si>
  <si>
    <t>jump_height</t>
  </si>
  <si>
    <t>step_count</t>
  </si>
  <si>
    <t>cadence</t>
  </si>
  <si>
    <t>ground_reaction_force</t>
  </si>
  <si>
    <t>Macro Recall</t>
  </si>
  <si>
    <t>Error Rate</t>
  </si>
  <si>
    <t>Training Time</t>
  </si>
  <si>
    <t>Macro Precision</t>
  </si>
  <si>
    <t>Macro Recall Z Score</t>
  </si>
  <si>
    <t>Macro Precision Z Score</t>
  </si>
  <si>
    <t>Small</t>
  </si>
  <si>
    <t>Medium</t>
  </si>
  <si>
    <t>Large</t>
  </si>
  <si>
    <t>Overall</t>
  </si>
  <si>
    <t>Feature Set</t>
  </si>
  <si>
    <t>Error Rate Rank</t>
  </si>
  <si>
    <t>Accuracy Rank</t>
  </si>
  <si>
    <t>Training Time Rank</t>
  </si>
  <si>
    <t>Macro Precision Rank</t>
  </si>
  <si>
    <t>Macro Recall Z Score Rank</t>
  </si>
  <si>
    <t>Macro Precision Z Score Rank</t>
  </si>
  <si>
    <t>2.1 Tree</t>
  </si>
  <si>
    <t>2.1 SVM</t>
  </si>
  <si>
    <t>2.11 SVM</t>
  </si>
  <si>
    <t>2.12 SVM</t>
  </si>
  <si>
    <t>—</t>
  </si>
  <si>
    <t>2.13 SVM</t>
  </si>
  <si>
    <t>2.14 SVM</t>
  </si>
  <si>
    <t>2.15 Ensemble</t>
  </si>
  <si>
    <t>2.16 Ensemble</t>
  </si>
  <si>
    <t>2.17 Ensemble</t>
  </si>
  <si>
    <t>2.18 Neural Networks</t>
  </si>
  <si>
    <t>2.19 Neural networks</t>
  </si>
  <si>
    <t>2.2 Tree</t>
  </si>
  <si>
    <t>2.2 Neural Networks</t>
  </si>
  <si>
    <t>2.21 Neural Networks</t>
  </si>
  <si>
    <t>2.22 Neural Networks</t>
  </si>
  <si>
    <t>2.23 Kernel</t>
  </si>
  <si>
    <t>2.24 Kernel</t>
  </si>
  <si>
    <t>2.3 Tree</t>
  </si>
  <si>
    <t>2.4 Binary GLm Logistic Regression</t>
  </si>
  <si>
    <t>Logistic Regression</t>
  </si>
  <si>
    <t>2.5 Efficient Logistic Regression</t>
  </si>
  <si>
    <t>2.6 efficient Linear SVM</t>
  </si>
  <si>
    <t>2.7 Naive Bayes</t>
  </si>
  <si>
    <t>2.8 Naïve Bayes</t>
  </si>
  <si>
    <t>2.9 SVM</t>
  </si>
  <si>
    <t>Median</t>
  </si>
  <si>
    <t>IQR</t>
  </si>
  <si>
    <t xml:space="preserve">Model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</si>
</sst>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8"/>
      <color rgb="FF000000"/>
      <name val="Helvetica Neue"/>
      <family val="2"/>
    </font>
    <font>
      <sz val="9"/>
      <color theme="1"/>
      <name val="Helvetica"/>
      <family val="2"/>
    </font>
    <font>
      <sz val="8"/>
      <color rgb="FF000000"/>
      <name val="Helvetica Neue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scheme val="minor"/>
    </font>
    <font>
      <sz val="12"/>
      <color rgb="FFFFFF00"/>
      <name val="Aptos Narrow"/>
      <family val="2"/>
      <scheme val="minor"/>
    </font>
    <font>
      <u val="double"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D9E1F2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dotted">
        <color theme="2"/>
      </left>
      <right style="dotted">
        <color theme="2"/>
      </right>
      <top style="dotted">
        <color theme="2"/>
      </top>
      <bottom style="dotted">
        <color theme="2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16" fontId="2" fillId="0" borderId="0" xfId="0" applyNumberFormat="1" applyFont="1"/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4" fillId="3" borderId="1" xfId="0" applyFont="1" applyFill="1" applyBorder="1"/>
    <xf numFmtId="0" fontId="5" fillId="0" borderId="1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0" borderId="1" xfId="0" applyFont="1" applyBorder="1"/>
    <xf numFmtId="0" fontId="0" fillId="0" borderId="0" xfId="0" applyAlignment="1">
      <alignment horizontal="center"/>
    </xf>
    <xf numFmtId="2" fontId="7" fillId="6" borderId="0" xfId="0" applyNumberFormat="1" applyFont="1" applyFill="1"/>
    <xf numFmtId="2" fontId="7" fillId="4" borderId="0" xfId="0" applyNumberFormat="1" applyFont="1" applyFill="1"/>
    <xf numFmtId="2" fontId="0" fillId="5" borderId="0" xfId="0" applyNumberFormat="1" applyFill="1"/>
    <xf numFmtId="2" fontId="0" fillId="0" borderId="0" xfId="0" applyNumberFormat="1"/>
    <xf numFmtId="2" fontId="0" fillId="6" borderId="0" xfId="0" applyNumberFormat="1" applyFill="1"/>
    <xf numFmtId="2" fontId="0" fillId="4" borderId="0" xfId="0" applyNumberFormat="1" applyFill="1"/>
    <xf numFmtId="2" fontId="0" fillId="7" borderId="0" xfId="0" applyNumberFormat="1" applyFill="1"/>
    <xf numFmtId="2" fontId="0" fillId="8" borderId="0" xfId="0" applyNumberFormat="1" applyFill="1"/>
    <xf numFmtId="2" fontId="0" fillId="9" borderId="0" xfId="0" applyNumberFormat="1" applyFill="1"/>
    <xf numFmtId="0" fontId="0" fillId="0" borderId="2" xfId="0" applyBorder="1"/>
    <xf numFmtId="2" fontId="0" fillId="0" borderId="3" xfId="0" applyNumberFormat="1" applyBorder="1"/>
    <xf numFmtId="0" fontId="0" fillId="10" borderId="3" xfId="0" applyFill="1" applyBorder="1"/>
    <xf numFmtId="2" fontId="0" fillId="10" borderId="3" xfId="0" applyNumberFormat="1" applyFill="1" applyBorder="1"/>
    <xf numFmtId="0" fontId="0" fillId="0" borderId="3" xfId="0" applyBorder="1"/>
    <xf numFmtId="0" fontId="7" fillId="10" borderId="3" xfId="0" applyFont="1" applyFill="1" applyBorder="1"/>
    <xf numFmtId="2" fontId="7" fillId="10" borderId="3" xfId="0" applyNumberFormat="1" applyFont="1" applyFill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7" fillId="0" borderId="0" xfId="0" applyFont="1"/>
    <xf numFmtId="164" fontId="7" fillId="0" borderId="0" xfId="0" applyNumberFormat="1" applyFont="1"/>
    <xf numFmtId="0" fontId="16" fillId="0" borderId="0" xfId="0" applyFont="1"/>
    <xf numFmtId="2" fontId="7" fillId="17" borderId="0" xfId="0" applyNumberFormat="1" applyFont="1" applyFill="1"/>
    <xf numFmtId="2" fontId="7" fillId="18" borderId="0" xfId="0" applyNumberFormat="1" applyFont="1" applyFill="1"/>
    <xf numFmtId="2" fontId="7" fillId="19" borderId="0" xfId="0" applyNumberFormat="1" applyFont="1" applyFill="1"/>
    <xf numFmtId="0" fontId="8" fillId="0" borderId="0" xfId="0" applyFont="1"/>
    <xf numFmtId="0" fontId="17" fillId="0" borderId="0" xfId="0" applyFont="1"/>
    <xf numFmtId="0" fontId="0" fillId="6" borderId="0" xfId="0" applyFill="1"/>
    <xf numFmtId="0" fontId="0" fillId="4" borderId="0" xfId="0" applyFill="1"/>
    <xf numFmtId="0" fontId="0" fillId="5" borderId="0" xfId="0" applyFill="1"/>
    <xf numFmtId="0" fontId="15" fillId="4" borderId="0" xfId="0" applyFont="1" applyFill="1"/>
    <xf numFmtId="0" fontId="15" fillId="18" borderId="0" xfId="0" applyFont="1" applyFill="1"/>
    <xf numFmtId="2" fontId="7" fillId="0" borderId="0" xfId="0" applyNumberFormat="1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1" fillId="20" borderId="0" xfId="0" applyFont="1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5" borderId="0" xfId="0" applyFont="1" applyFill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Weighted Score Small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'Weighted Score Small'!$Q$9</c:f>
              <c:strCache>
                <c:ptCount val="1"/>
                <c:pt idx="0">
                  <c:v>Overall 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'Weighted Score Small'!$P$10:$P$33</c:f>
              <c:strCache>
                <c:ptCount val="24"/>
                <c:pt idx="0">
                  <c:v>2.1 Tree</c:v>
                </c:pt>
                <c:pt idx="1">
                  <c:v>2.7 Naive Bayes</c:v>
                </c:pt>
                <c:pt idx="2">
                  <c:v>2.8 Naive Bayes</c:v>
                </c:pt>
                <c:pt idx="3">
                  <c:v>2.1 SVM</c:v>
                </c:pt>
                <c:pt idx="4">
                  <c:v>2.12 SVM</c:v>
                </c:pt>
                <c:pt idx="5">
                  <c:v>2.15 Ensemble</c:v>
                </c:pt>
                <c:pt idx="6">
                  <c:v>2.9 SVM</c:v>
                </c:pt>
                <c:pt idx="7">
                  <c:v>2.22 Neural Network</c:v>
                </c:pt>
                <c:pt idx="8">
                  <c:v>2.19 Neural Network</c:v>
                </c:pt>
                <c:pt idx="9">
                  <c:v>2.11 SVM</c:v>
                </c:pt>
                <c:pt idx="10">
                  <c:v>2.14 SVM</c:v>
                </c:pt>
                <c:pt idx="11">
                  <c:v>2.23 Kernel</c:v>
                </c:pt>
                <c:pt idx="12">
                  <c:v>2.18 Neural Network</c:v>
                </c:pt>
                <c:pt idx="13">
                  <c:v>2.5 Efficient Logistic Regression</c:v>
                </c:pt>
                <c:pt idx="14">
                  <c:v>2.21 Neural Network</c:v>
                </c:pt>
                <c:pt idx="15">
                  <c:v>2.2 Neural Network</c:v>
                </c:pt>
                <c:pt idx="16">
                  <c:v>2.24 Kernel</c:v>
                </c:pt>
                <c:pt idx="17">
                  <c:v>2.6 Efficient Linear SVM</c:v>
                </c:pt>
                <c:pt idx="18">
                  <c:v>2.16 Ensemble</c:v>
                </c:pt>
                <c:pt idx="19">
                  <c:v>2.4 Binary GLM Logistic Regression</c:v>
                </c:pt>
                <c:pt idx="20">
                  <c:v>2.2 Tree</c:v>
                </c:pt>
                <c:pt idx="21">
                  <c:v>2.13 SVM</c:v>
                </c:pt>
                <c:pt idx="22">
                  <c:v>2.3 Tree</c:v>
                </c:pt>
                <c:pt idx="23">
                  <c:v>2.17 Ensemble</c:v>
                </c:pt>
              </c:strCache>
            </c:strRef>
          </c:cat>
          <c:val>
            <c:numRef>
              <c:f>'Weighted Score Small'!$Q$10:$Q$33</c:f>
              <c:numCache>
                <c:formatCode>0.00</c:formatCode>
                <c:ptCount val="24"/>
                <c:pt idx="0">
                  <c:v>0.61</c:v>
                </c:pt>
                <c:pt idx="1">
                  <c:v>0.59</c:v>
                </c:pt>
                <c:pt idx="2">
                  <c:v>0.43</c:v>
                </c:pt>
                <c:pt idx="3">
                  <c:v>0.33</c:v>
                </c:pt>
                <c:pt idx="4">
                  <c:v>0.33</c:v>
                </c:pt>
                <c:pt idx="5">
                  <c:v>0.28999999999999998</c:v>
                </c:pt>
                <c:pt idx="6">
                  <c:v>0.27</c:v>
                </c:pt>
                <c:pt idx="7">
                  <c:v>0.25</c:v>
                </c:pt>
                <c:pt idx="8">
                  <c:v>0.17</c:v>
                </c:pt>
                <c:pt idx="9">
                  <c:v>0.11</c:v>
                </c:pt>
                <c:pt idx="10">
                  <c:v>0.09</c:v>
                </c:pt>
                <c:pt idx="11">
                  <c:v>0.05</c:v>
                </c:pt>
                <c:pt idx="12">
                  <c:v>-0.01</c:v>
                </c:pt>
                <c:pt idx="13">
                  <c:v>-0.17</c:v>
                </c:pt>
                <c:pt idx="14">
                  <c:v>-0.23</c:v>
                </c:pt>
                <c:pt idx="15">
                  <c:v>-0.23</c:v>
                </c:pt>
                <c:pt idx="16">
                  <c:v>-0.24</c:v>
                </c:pt>
                <c:pt idx="17">
                  <c:v>-0.26</c:v>
                </c:pt>
                <c:pt idx="18">
                  <c:v>-0.26</c:v>
                </c:pt>
                <c:pt idx="19">
                  <c:v>-0.27</c:v>
                </c:pt>
                <c:pt idx="20">
                  <c:v>-0.28000000000000003</c:v>
                </c:pt>
                <c:pt idx="21">
                  <c:v>-0.35</c:v>
                </c:pt>
                <c:pt idx="22">
                  <c:v>-0.54</c:v>
                </c:pt>
                <c:pt idx="23">
                  <c:v>-0.68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8-344F-B602-03CE82201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1546239"/>
        <c:axId val="1908965407"/>
      </c:barChart>
      <c:catAx>
        <c:axId val="26154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965407"/>
        <c:crosses val="autoZero"/>
        <c:auto val="1"/>
        <c:lblAlgn val="ctr"/>
        <c:lblOffset val="100"/>
        <c:noMultiLvlLbl val="0"/>
      </c:catAx>
      <c:valAx>
        <c:axId val="1908965407"/>
        <c:scaling>
          <c:orientation val="minMax"/>
          <c:max val="1"/>
          <c:min val="-3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54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Weighted Score Medium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'Weighted Score Medium'!$Q$9</c:f>
              <c:strCache>
                <c:ptCount val="1"/>
                <c:pt idx="0">
                  <c:v>Overall 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'Weighted Score Medium'!$O$10:$P$33</c:f>
              <c:strCache>
                <c:ptCount val="24"/>
                <c:pt idx="0">
                  <c:v>2.2 Tree</c:v>
                </c:pt>
                <c:pt idx="1">
                  <c:v>2.3 Tree</c:v>
                </c:pt>
                <c:pt idx="2">
                  <c:v>2.19 Neural Network</c:v>
                </c:pt>
                <c:pt idx="3">
                  <c:v>2.7 Naive Bayes</c:v>
                </c:pt>
                <c:pt idx="4">
                  <c:v>2.22 Neural Network</c:v>
                </c:pt>
                <c:pt idx="5">
                  <c:v>2.1 Tree</c:v>
                </c:pt>
                <c:pt idx="6">
                  <c:v>2.8 Naive Bayes</c:v>
                </c:pt>
                <c:pt idx="7">
                  <c:v>2.9 SVM</c:v>
                </c:pt>
                <c:pt idx="8">
                  <c:v>2.12 SVM</c:v>
                </c:pt>
                <c:pt idx="9">
                  <c:v>2.1 SVM</c:v>
                </c:pt>
                <c:pt idx="10">
                  <c:v>2.14 SVM</c:v>
                </c:pt>
                <c:pt idx="11">
                  <c:v>2.18 Neural Network</c:v>
                </c:pt>
                <c:pt idx="12">
                  <c:v>2.23 Kernel</c:v>
                </c:pt>
                <c:pt idx="13">
                  <c:v>2.15 Ensemble</c:v>
                </c:pt>
                <c:pt idx="14">
                  <c:v>2.11 SVM</c:v>
                </c:pt>
                <c:pt idx="15">
                  <c:v>2.5 Efficient Logistic Regression</c:v>
                </c:pt>
                <c:pt idx="16">
                  <c:v>2.17 Ensemble</c:v>
                </c:pt>
                <c:pt idx="17">
                  <c:v>2.16 Ensemble</c:v>
                </c:pt>
                <c:pt idx="18">
                  <c:v>2.13 SVM</c:v>
                </c:pt>
                <c:pt idx="19">
                  <c:v>2.21 Neural Network</c:v>
                </c:pt>
                <c:pt idx="20">
                  <c:v>2.2 Neural Network</c:v>
                </c:pt>
                <c:pt idx="21">
                  <c:v>2.24 Kernel</c:v>
                </c:pt>
                <c:pt idx="22">
                  <c:v>2.6 Efficient Linear SVM</c:v>
                </c:pt>
                <c:pt idx="23">
                  <c:v>2.4 Binary GLM Logistic Regression</c:v>
                </c:pt>
              </c:strCache>
            </c:strRef>
          </c:cat>
          <c:val>
            <c:numRef>
              <c:f>'Weighted Score Medium'!$Q$10:$Q$33</c:f>
              <c:numCache>
                <c:formatCode>0.00</c:formatCode>
                <c:ptCount val="24"/>
                <c:pt idx="0">
                  <c:v>0.91927177999999998</c:v>
                </c:pt>
                <c:pt idx="1">
                  <c:v>0.65509236999999998</c:v>
                </c:pt>
                <c:pt idx="2">
                  <c:v>0.43431948999999997</c:v>
                </c:pt>
                <c:pt idx="3">
                  <c:v>0.41210296000000002</c:v>
                </c:pt>
                <c:pt idx="4">
                  <c:v>0.33989923999999999</c:v>
                </c:pt>
                <c:pt idx="5">
                  <c:v>0.33239162999999999</c:v>
                </c:pt>
                <c:pt idx="6">
                  <c:v>0.24255394999999999</c:v>
                </c:pt>
                <c:pt idx="7">
                  <c:v>0.24118076999999999</c:v>
                </c:pt>
                <c:pt idx="8">
                  <c:v>0.16092306000000001</c:v>
                </c:pt>
                <c:pt idx="9">
                  <c:v>0.14347607000000001</c:v>
                </c:pt>
                <c:pt idx="10">
                  <c:v>9.8120009999999994E-2</c:v>
                </c:pt>
                <c:pt idx="11">
                  <c:v>4.1575479999999998E-2</c:v>
                </c:pt>
                <c:pt idx="12">
                  <c:v>3.7543300000000002E-2</c:v>
                </c:pt>
                <c:pt idx="13">
                  <c:v>9.4676000000000005E-4</c:v>
                </c:pt>
                <c:pt idx="14">
                  <c:v>-8.1309999999999998E-4</c:v>
                </c:pt>
                <c:pt idx="15">
                  <c:v>-7.0909700000000006E-2</c:v>
                </c:pt>
                <c:pt idx="16">
                  <c:v>-0.12178120000000001</c:v>
                </c:pt>
                <c:pt idx="17">
                  <c:v>-0.19518060000000001</c:v>
                </c:pt>
                <c:pt idx="18">
                  <c:v>-0.45511079999999998</c:v>
                </c:pt>
                <c:pt idx="19">
                  <c:v>-0.59235070000000001</c:v>
                </c:pt>
                <c:pt idx="20">
                  <c:v>-0.59313680000000002</c:v>
                </c:pt>
                <c:pt idx="21">
                  <c:v>-0.61857030000000002</c:v>
                </c:pt>
                <c:pt idx="22">
                  <c:v>-0.67961990000000005</c:v>
                </c:pt>
                <c:pt idx="23">
                  <c:v>-0.73192369999999995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5-2F45-B937-B3C4B1D5DD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69546319"/>
        <c:axId val="1123782655"/>
      </c:barChart>
      <c:catAx>
        <c:axId val="116954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82655"/>
        <c:crosses val="autoZero"/>
        <c:auto val="1"/>
        <c:lblAlgn val="ctr"/>
        <c:lblOffset val="100"/>
        <c:noMultiLvlLbl val="0"/>
      </c:catAx>
      <c:valAx>
        <c:axId val="1123782655"/>
        <c:scaling>
          <c:orientation val="minMax"/>
          <c:max val="1"/>
          <c:min val="-0.8"/>
        </c:scaling>
        <c:delete val="1"/>
        <c:axPos val="l"/>
        <c:numFmt formatCode="0.00" sourceLinked="1"/>
        <c:majorTickMark val="out"/>
        <c:minorTickMark val="none"/>
        <c:tickLblPos val="nextTo"/>
        <c:crossAx val="116954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Weighted Score</a:t>
            </a:r>
            <a:r>
              <a:rPr lang="en-US" baseline="0"/>
              <a:t> Medium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'Weighted Score Medium'!$Q$9</c:f>
              <c:strCache>
                <c:ptCount val="1"/>
                <c:pt idx="0">
                  <c:v>Overall 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'Weighted Score Medium'!$P$10:$P$33</c:f>
              <c:strCache>
                <c:ptCount val="24"/>
                <c:pt idx="0">
                  <c:v>2.2 Tree</c:v>
                </c:pt>
                <c:pt idx="1">
                  <c:v>2.3 Tree</c:v>
                </c:pt>
                <c:pt idx="2">
                  <c:v>2.19 Neural Network</c:v>
                </c:pt>
                <c:pt idx="3">
                  <c:v>2.7 Naive Bayes</c:v>
                </c:pt>
                <c:pt idx="4">
                  <c:v>2.22 Neural Network</c:v>
                </c:pt>
                <c:pt idx="5">
                  <c:v>2.1 Tree</c:v>
                </c:pt>
                <c:pt idx="6">
                  <c:v>2.8 Naive Bayes</c:v>
                </c:pt>
                <c:pt idx="7">
                  <c:v>2.9 SVM</c:v>
                </c:pt>
                <c:pt idx="8">
                  <c:v>2.12 SVM</c:v>
                </c:pt>
                <c:pt idx="9">
                  <c:v>2.1 SVM</c:v>
                </c:pt>
                <c:pt idx="10">
                  <c:v>2.14 SVM</c:v>
                </c:pt>
                <c:pt idx="11">
                  <c:v>2.18 Neural Network</c:v>
                </c:pt>
                <c:pt idx="12">
                  <c:v>2.23 Kernel</c:v>
                </c:pt>
                <c:pt idx="13">
                  <c:v>2.15 Ensemble</c:v>
                </c:pt>
                <c:pt idx="14">
                  <c:v>2.11 SVM</c:v>
                </c:pt>
                <c:pt idx="15">
                  <c:v>2.5 Efficient Logistic Regression</c:v>
                </c:pt>
                <c:pt idx="16">
                  <c:v>2.17 Ensemble</c:v>
                </c:pt>
                <c:pt idx="17">
                  <c:v>2.16 Ensemble</c:v>
                </c:pt>
                <c:pt idx="18">
                  <c:v>2.13 SVM</c:v>
                </c:pt>
                <c:pt idx="19">
                  <c:v>2.21 Neural Network</c:v>
                </c:pt>
                <c:pt idx="20">
                  <c:v>2.2 Neural Network</c:v>
                </c:pt>
                <c:pt idx="21">
                  <c:v>2.24 Kernel</c:v>
                </c:pt>
                <c:pt idx="22">
                  <c:v>2.6 Efficient Linear SVM</c:v>
                </c:pt>
                <c:pt idx="23">
                  <c:v>2.4 Binary GLM Logistic Regression</c:v>
                </c:pt>
              </c:strCache>
            </c:strRef>
          </c:cat>
          <c:val>
            <c:numRef>
              <c:f>'Weighted Score Medium'!$Q$10:$Q$33</c:f>
              <c:numCache>
                <c:formatCode>0.00</c:formatCode>
                <c:ptCount val="24"/>
                <c:pt idx="0">
                  <c:v>0.91927177999999998</c:v>
                </c:pt>
                <c:pt idx="1">
                  <c:v>0.65509236999999998</c:v>
                </c:pt>
                <c:pt idx="2">
                  <c:v>0.43431948999999997</c:v>
                </c:pt>
                <c:pt idx="3">
                  <c:v>0.41210296000000002</c:v>
                </c:pt>
                <c:pt idx="4">
                  <c:v>0.33989923999999999</c:v>
                </c:pt>
                <c:pt idx="5">
                  <c:v>0.33239162999999999</c:v>
                </c:pt>
                <c:pt idx="6">
                  <c:v>0.24255394999999999</c:v>
                </c:pt>
                <c:pt idx="7">
                  <c:v>0.24118076999999999</c:v>
                </c:pt>
                <c:pt idx="8">
                  <c:v>0.16092306000000001</c:v>
                </c:pt>
                <c:pt idx="9">
                  <c:v>0.14347607000000001</c:v>
                </c:pt>
                <c:pt idx="10">
                  <c:v>9.8120009999999994E-2</c:v>
                </c:pt>
                <c:pt idx="11">
                  <c:v>4.1575479999999998E-2</c:v>
                </c:pt>
                <c:pt idx="12">
                  <c:v>3.7543300000000002E-2</c:v>
                </c:pt>
                <c:pt idx="13">
                  <c:v>9.4676000000000005E-4</c:v>
                </c:pt>
                <c:pt idx="14">
                  <c:v>-8.1309999999999998E-4</c:v>
                </c:pt>
                <c:pt idx="15">
                  <c:v>-7.0909700000000006E-2</c:v>
                </c:pt>
                <c:pt idx="16">
                  <c:v>-0.12178120000000001</c:v>
                </c:pt>
                <c:pt idx="17">
                  <c:v>-0.19518060000000001</c:v>
                </c:pt>
                <c:pt idx="18">
                  <c:v>-0.45511079999999998</c:v>
                </c:pt>
                <c:pt idx="19">
                  <c:v>-0.59235070000000001</c:v>
                </c:pt>
                <c:pt idx="20">
                  <c:v>-0.59313680000000002</c:v>
                </c:pt>
                <c:pt idx="21">
                  <c:v>-0.61857030000000002</c:v>
                </c:pt>
                <c:pt idx="22">
                  <c:v>-0.67961990000000005</c:v>
                </c:pt>
                <c:pt idx="23">
                  <c:v>-0.73192369999999995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D-0943-9784-A5282FB6A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30537391"/>
        <c:axId val="1315531071"/>
      </c:barChart>
      <c:catAx>
        <c:axId val="113053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31071"/>
        <c:crosses val="autoZero"/>
        <c:auto val="1"/>
        <c:lblAlgn val="ctr"/>
        <c:lblOffset val="100"/>
        <c:noMultiLvlLbl val="0"/>
      </c:catAx>
      <c:valAx>
        <c:axId val="1315531071"/>
        <c:scaling>
          <c:orientation val="minMax"/>
          <c:max val="1"/>
          <c:min val="-3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53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Weighted</a:t>
            </a:r>
            <a:r>
              <a:rPr lang="en-US" baseline="0"/>
              <a:t> Score Large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'Weighted Score Large '!$P$9</c:f>
              <c:strCache>
                <c:ptCount val="1"/>
                <c:pt idx="0">
                  <c:v>Overall 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'Weighted Score Large '!$O$10:$O$33</c:f>
              <c:strCache>
                <c:ptCount val="24"/>
                <c:pt idx="0">
                  <c:v>2.4 Binary GLM Logistic Regression</c:v>
                </c:pt>
                <c:pt idx="1">
                  <c:v>2.15 Ensemble</c:v>
                </c:pt>
                <c:pt idx="2">
                  <c:v>2.17 Ensemble</c:v>
                </c:pt>
                <c:pt idx="3">
                  <c:v>2.18 Neural Network</c:v>
                </c:pt>
                <c:pt idx="4">
                  <c:v>2.2 Tree</c:v>
                </c:pt>
                <c:pt idx="5">
                  <c:v>2.1 Tree</c:v>
                </c:pt>
                <c:pt idx="6">
                  <c:v>2.16 Ensemble</c:v>
                </c:pt>
                <c:pt idx="7">
                  <c:v>2.7 Naive Bayes</c:v>
                </c:pt>
                <c:pt idx="8">
                  <c:v>2.11 SVM</c:v>
                </c:pt>
                <c:pt idx="9">
                  <c:v>2.22 Neural Network</c:v>
                </c:pt>
                <c:pt idx="10">
                  <c:v>2.21 Neural Network</c:v>
                </c:pt>
                <c:pt idx="11">
                  <c:v>2.13 SVM</c:v>
                </c:pt>
                <c:pt idx="12">
                  <c:v>2.1 SVM</c:v>
                </c:pt>
                <c:pt idx="13">
                  <c:v>2.3 Tree</c:v>
                </c:pt>
                <c:pt idx="14">
                  <c:v>2.19 Neural Network</c:v>
                </c:pt>
                <c:pt idx="15">
                  <c:v>2.23 Kernel</c:v>
                </c:pt>
                <c:pt idx="16">
                  <c:v>2.24 Kernel</c:v>
                </c:pt>
                <c:pt idx="17">
                  <c:v>2.8 Naive Bayes</c:v>
                </c:pt>
                <c:pt idx="18">
                  <c:v>2.2 Neural Network</c:v>
                </c:pt>
                <c:pt idx="19">
                  <c:v>2.5 Efficient Logistic Regression</c:v>
                </c:pt>
                <c:pt idx="20">
                  <c:v>2.6 Efficient Linear SVM</c:v>
                </c:pt>
                <c:pt idx="21">
                  <c:v>2.9 SVM</c:v>
                </c:pt>
                <c:pt idx="22">
                  <c:v>2.14 SVM</c:v>
                </c:pt>
                <c:pt idx="23">
                  <c:v>2.12 SVM</c:v>
                </c:pt>
              </c:strCache>
            </c:strRef>
          </c:cat>
          <c:val>
            <c:numRef>
              <c:f>'Weighted Score Large '!$P$10:$P$33</c:f>
              <c:numCache>
                <c:formatCode>0.00</c:formatCode>
                <c:ptCount val="24"/>
                <c:pt idx="0">
                  <c:v>0.79</c:v>
                </c:pt>
                <c:pt idx="1">
                  <c:v>0.71</c:v>
                </c:pt>
                <c:pt idx="2">
                  <c:v>0.52</c:v>
                </c:pt>
                <c:pt idx="3">
                  <c:v>0.47</c:v>
                </c:pt>
                <c:pt idx="4">
                  <c:v>0.34</c:v>
                </c:pt>
                <c:pt idx="5">
                  <c:v>0.26</c:v>
                </c:pt>
                <c:pt idx="6">
                  <c:v>0.26</c:v>
                </c:pt>
                <c:pt idx="7">
                  <c:v>0.16</c:v>
                </c:pt>
                <c:pt idx="8">
                  <c:v>0.14000000000000001</c:v>
                </c:pt>
                <c:pt idx="9">
                  <c:v>0.12</c:v>
                </c:pt>
                <c:pt idx="10">
                  <c:v>0.1</c:v>
                </c:pt>
                <c:pt idx="11">
                  <c:v>0.04</c:v>
                </c:pt>
                <c:pt idx="12">
                  <c:v>-0.02</c:v>
                </c:pt>
                <c:pt idx="13">
                  <c:v>-0.03</c:v>
                </c:pt>
                <c:pt idx="14">
                  <c:v>-0.09</c:v>
                </c:pt>
                <c:pt idx="15">
                  <c:v>-0.09</c:v>
                </c:pt>
                <c:pt idx="16">
                  <c:v>-0.12</c:v>
                </c:pt>
                <c:pt idx="17">
                  <c:v>-0.35</c:v>
                </c:pt>
                <c:pt idx="18">
                  <c:v>-0.52</c:v>
                </c:pt>
                <c:pt idx="19">
                  <c:v>-2.98</c:v>
                </c:pt>
                <c:pt idx="20">
                  <c:v>-2.98</c:v>
                </c:pt>
                <c:pt idx="21">
                  <c:v>-3</c:v>
                </c:pt>
                <c:pt idx="22">
                  <c:v>-3.06</c:v>
                </c:pt>
                <c:pt idx="23">
                  <c:v>-3.15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D-A347-B7A5-F3CE6A072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04528383"/>
        <c:axId val="59266784"/>
      </c:barChart>
      <c:catAx>
        <c:axId val="190452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6784"/>
        <c:crosses val="autoZero"/>
        <c:auto val="1"/>
        <c:lblAlgn val="ctr"/>
        <c:lblOffset val="100"/>
        <c:noMultiLvlLbl val="0"/>
      </c:catAx>
      <c:valAx>
        <c:axId val="592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2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Macro Recall Z</a:t>
            </a:r>
            <a:r>
              <a:rPr lang="en-US" baseline="0"/>
              <a:t> Scores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'Preliminary Analysis'!$X$2</c:f>
              <c:strCache>
                <c:ptCount val="1"/>
                <c:pt idx="0">
                  <c:v>Small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'Preliminary Analysis'!$X$3:$X$26</c:f>
              <c:numCache>
                <c:formatCode>0.00</c:formatCode>
                <c:ptCount val="24"/>
                <c:pt idx="0">
                  <c:v>0.63396268229758856</c:v>
                </c:pt>
                <c:pt idx="1">
                  <c:v>0.1512822095501104</c:v>
                </c:pt>
                <c:pt idx="2">
                  <c:v>0.10845396418274329</c:v>
                </c:pt>
                <c:pt idx="3">
                  <c:v>0.15380006302484295</c:v>
                </c:pt>
                <c:pt idx="4">
                  <c:v>0.23670531525062835</c:v>
                </c:pt>
                <c:pt idx="5">
                  <c:v>5.8072147054655382E-2</c:v>
                </c:pt>
                <c:pt idx="6">
                  <c:v>0.29757618384798129</c:v>
                </c:pt>
                <c:pt idx="7">
                  <c:v>-0.73600043990250463</c:v>
                </c:pt>
                <c:pt idx="8">
                  <c:v>-0.60237669843777786</c:v>
                </c:pt>
                <c:pt idx="9">
                  <c:v>-0.67612443070417338</c:v>
                </c:pt>
                <c:pt idx="10">
                  <c:v>-5.8072147054654577E-2</c:v>
                </c:pt>
                <c:pt idx="11">
                  <c:v>-0.73600043990250463</c:v>
                </c:pt>
                <c:pt idx="12">
                  <c:v>-0.73600043990250463</c:v>
                </c:pt>
                <c:pt idx="13">
                  <c:v>-0.73600043990250463</c:v>
                </c:pt>
                <c:pt idx="14">
                  <c:v>0.44347714350718787</c:v>
                </c:pt>
                <c:pt idx="15">
                  <c:v>0.25280735218066691</c:v>
                </c:pt>
                <c:pt idx="16">
                  <c:v>-0.73600043990250463</c:v>
                </c:pt>
                <c:pt idx="17">
                  <c:v>-0.45268529238593458</c:v>
                </c:pt>
                <c:pt idx="18">
                  <c:v>-0.73600043990250463</c:v>
                </c:pt>
                <c:pt idx="19">
                  <c:v>-0.58330740552043236</c:v>
                </c:pt>
                <c:pt idx="20">
                  <c:v>-0.73600043990250463</c:v>
                </c:pt>
                <c:pt idx="21">
                  <c:v>0.30145737912092618</c:v>
                </c:pt>
                <c:pt idx="22">
                  <c:v>0.35144617027382502</c:v>
                </c:pt>
                <c:pt idx="23">
                  <c:v>1.6124165429495194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6-514C-AE2C-C3918C1E9C6B}"/>
            </c:ext>
          </c:extLst>
        </c:ser>
        <c:ser>
          <c:idx val="1"/>
          <c:order val="1"/>
          <c:tx>
            <c:strRef>
              <c:f>'Preliminary Analysis'!$Y$2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'Preliminary Analysis'!$Y$3:$Y$26</c:f>
              <c:numCache>
                <c:formatCode>0.00</c:formatCode>
                <c:ptCount val="24"/>
                <c:pt idx="0">
                  <c:v>0.16979071273589189</c:v>
                </c:pt>
                <c:pt idx="1">
                  <c:v>-3.0598957245276285E-2</c:v>
                </c:pt>
                <c:pt idx="2">
                  <c:v>0.11010119353872901</c:v>
                </c:pt>
                <c:pt idx="3">
                  <c:v>-0.32352774091523251</c:v>
                </c:pt>
                <c:pt idx="4">
                  <c:v>0.12007338022497444</c:v>
                </c:pt>
                <c:pt idx="5">
                  <c:v>5.8923354807109293E-2</c:v>
                </c:pt>
                <c:pt idx="6">
                  <c:v>-6.1760577945748546E-2</c:v>
                </c:pt>
                <c:pt idx="7">
                  <c:v>-0.93300491933979868</c:v>
                </c:pt>
                <c:pt idx="8">
                  <c:v>-0.53506280251610239</c:v>
                </c:pt>
                <c:pt idx="9">
                  <c:v>-0.81628352558634898</c:v>
                </c:pt>
                <c:pt idx="10">
                  <c:v>0.15072023206775009</c:v>
                </c:pt>
                <c:pt idx="11">
                  <c:v>2.7413602923693063</c:v>
                </c:pt>
                <c:pt idx="12">
                  <c:v>-0.95245847944056139</c:v>
                </c:pt>
                <c:pt idx="13">
                  <c:v>-0.95245847944056139</c:v>
                </c:pt>
                <c:pt idx="14">
                  <c:v>0.41417535777876152</c:v>
                </c:pt>
                <c:pt idx="15">
                  <c:v>0.15240820585890219</c:v>
                </c:pt>
                <c:pt idx="16">
                  <c:v>-0.95245847944056139</c:v>
                </c:pt>
                <c:pt idx="17">
                  <c:v>2.5083454789194688</c:v>
                </c:pt>
                <c:pt idx="18">
                  <c:v>-0.95245847944056139</c:v>
                </c:pt>
                <c:pt idx="19">
                  <c:v>-0.66840052218205082</c:v>
                </c:pt>
                <c:pt idx="20">
                  <c:v>-0.95245847944056139</c:v>
                </c:pt>
                <c:pt idx="21">
                  <c:v>0.16091988632444615</c:v>
                </c:pt>
                <c:pt idx="22">
                  <c:v>3.0598957245276285E-2</c:v>
                </c:pt>
                <c:pt idx="23">
                  <c:v>1.9535688258225055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B6-514C-AE2C-C3918C1E9C6B}"/>
            </c:ext>
          </c:extLst>
        </c:ser>
        <c:ser>
          <c:idx val="2"/>
          <c:order val="2"/>
          <c:tx>
            <c:strRef>
              <c:f>'Preliminary Analysis'!$Z$2</c:f>
              <c:strCache>
                <c:ptCount val="1"/>
                <c:pt idx="0">
                  <c:v>Large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'Preliminary Analysis'!$Z$3:$Z$26</c:f>
              <c:numCache>
                <c:formatCode>0.00</c:formatCode>
                <c:ptCount val="24"/>
                <c:pt idx="0">
                  <c:v>0.23499799217636028</c:v>
                </c:pt>
                <c:pt idx="1">
                  <c:v>-0.5340565216905121</c:v>
                </c:pt>
                <c:pt idx="2">
                  <c:v>0.37305123101530102</c:v>
                </c:pt>
                <c:pt idx="3">
                  <c:v>2.0776838840831533</c:v>
                </c:pt>
                <c:pt idx="4">
                  <c:v>0.22022285735000643</c:v>
                </c:pt>
                <c:pt idx="5">
                  <c:v>0.25040215355634887</c:v>
                </c:pt>
                <c:pt idx="6">
                  <c:v>-9.7994686947027621E-2</c:v>
                </c:pt>
                <c:pt idx="7">
                  <c:v>0.21867125851772756</c:v>
                </c:pt>
                <c:pt idx="8">
                  <c:v>0.17227368935915652</c:v>
                </c:pt>
                <c:pt idx="9">
                  <c:v>9.7994686947027621E-2</c:v>
                </c:pt>
                <c:pt idx="10">
                  <c:v>-1.152788347175894</c:v>
                </c:pt>
                <c:pt idx="11">
                  <c:v>-1.152788347175894</c:v>
                </c:pt>
                <c:pt idx="12">
                  <c:v>0.39974649636060805</c:v>
                </c:pt>
                <c:pt idx="13">
                  <c:v>-0.71140041449434854</c:v>
                </c:pt>
                <c:pt idx="14">
                  <c:v>0.12694520863074682</c:v>
                </c:pt>
                <c:pt idx="15">
                  <c:v>0.23585992924584845</c:v>
                </c:pt>
                <c:pt idx="16">
                  <c:v>-1.152788347175894</c:v>
                </c:pt>
                <c:pt idx="17">
                  <c:v>-0.27684790369556628</c:v>
                </c:pt>
                <c:pt idx="18">
                  <c:v>-0.37233413453646624</c:v>
                </c:pt>
                <c:pt idx="19">
                  <c:v>-0.97013219229057668</c:v>
                </c:pt>
                <c:pt idx="20">
                  <c:v>0.20560409425879325</c:v>
                </c:pt>
                <c:pt idx="21">
                  <c:v>-0.6364536132248455</c:v>
                </c:pt>
                <c:pt idx="22">
                  <c:v>-1.152788347175894</c:v>
                </c:pt>
                <c:pt idx="23">
                  <c:v>-1.152788347175894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B6-514C-AE2C-C3918C1E9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4113360"/>
        <c:axId val="1644115072"/>
      </c:barChart>
      <c:catAx>
        <c:axId val="164411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15072"/>
        <c:crosses val="autoZero"/>
        <c:auto val="1"/>
        <c:lblAlgn val="ctr"/>
        <c:lblOffset val="100"/>
        <c:noMultiLvlLbl val="0"/>
      </c:catAx>
      <c:valAx>
        <c:axId val="164411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133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Macro 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'Preliminary Analysis'!$T$2</c:f>
              <c:strCache>
                <c:ptCount val="1"/>
                <c:pt idx="0">
                  <c:v>Small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'Preliminary Analysis'!$T$3:$T$26</c:f>
              <c:numCache>
                <c:formatCode>0.00</c:formatCode>
                <c:ptCount val="24"/>
                <c:pt idx="0">
                  <c:v>71.803894</c:v>
                </c:pt>
                <c:pt idx="1">
                  <c:v>76.259905500000002</c:v>
                </c:pt>
                <c:pt idx="2">
                  <c:v>70.149463699999998</c:v>
                </c:pt>
                <c:pt idx="3">
                  <c:v>74.463759899999999</c:v>
                </c:pt>
                <c:pt idx="4">
                  <c:v>60.177759999999999</c:v>
                </c:pt>
                <c:pt idx="5">
                  <c:v>71.485145900000006</c:v>
                </c:pt>
                <c:pt idx="6">
                  <c:v>71.822066899999996</c:v>
                </c:pt>
                <c:pt idx="7">
                  <c:v>85.1231011</c:v>
                </c:pt>
                <c:pt idx="8">
                  <c:v>63.141349900000002</c:v>
                </c:pt>
                <c:pt idx="9">
                  <c:v>92.628541400000003</c:v>
                </c:pt>
                <c:pt idx="10">
                  <c:v>75.787673799999993</c:v>
                </c:pt>
                <c:pt idx="11">
                  <c:v>85.1231011</c:v>
                </c:pt>
                <c:pt idx="12">
                  <c:v>85.1231011</c:v>
                </c:pt>
                <c:pt idx="13">
                  <c:v>85.1231011</c:v>
                </c:pt>
                <c:pt idx="14">
                  <c:v>66.594951199999997</c:v>
                </c:pt>
                <c:pt idx="15">
                  <c:v>66.253533099999999</c:v>
                </c:pt>
                <c:pt idx="16">
                  <c:v>85.1231011</c:v>
                </c:pt>
                <c:pt idx="17">
                  <c:v>81.749808999999999</c:v>
                </c:pt>
                <c:pt idx="18">
                  <c:v>85.1231011</c:v>
                </c:pt>
                <c:pt idx="19">
                  <c:v>82.733017399999994</c:v>
                </c:pt>
                <c:pt idx="20">
                  <c:v>85.1231011</c:v>
                </c:pt>
                <c:pt idx="21">
                  <c:v>79.213529800000003</c:v>
                </c:pt>
                <c:pt idx="22">
                  <c:v>73.370816199999993</c:v>
                </c:pt>
                <c:pt idx="23">
                  <c:v>62.355408300000001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C-7443-9A65-D88220D207B5}"/>
            </c:ext>
          </c:extLst>
        </c:ser>
        <c:ser>
          <c:idx val="1"/>
          <c:order val="1"/>
          <c:tx>
            <c:strRef>
              <c:f>'Preliminary Analysis'!$U$2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'Preliminary Analysis'!$U$3:$U$26</c:f>
              <c:numCache>
                <c:formatCode>0.00</c:formatCode>
                <c:ptCount val="24"/>
                <c:pt idx="0">
                  <c:v>70.711047500000006</c:v>
                </c:pt>
                <c:pt idx="1">
                  <c:v>69.130346200000005</c:v>
                </c:pt>
                <c:pt idx="2">
                  <c:v>66.041104899999993</c:v>
                </c:pt>
                <c:pt idx="3">
                  <c:v>74.883482999999998</c:v>
                </c:pt>
                <c:pt idx="4">
                  <c:v>58.209566600000002</c:v>
                </c:pt>
                <c:pt idx="5">
                  <c:v>68.802579899999998</c:v>
                </c:pt>
                <c:pt idx="6">
                  <c:v>70.372053800000003</c:v>
                </c:pt>
                <c:pt idx="7">
                  <c:v>92.583857399999999</c:v>
                </c:pt>
                <c:pt idx="8">
                  <c:v>68.053311800000003</c:v>
                </c:pt>
                <c:pt idx="9">
                  <c:v>92.718191399999995</c:v>
                </c:pt>
                <c:pt idx="10">
                  <c:v>75.713209399999997</c:v>
                </c:pt>
                <c:pt idx="11">
                  <c:v>14.4316396</c:v>
                </c:pt>
                <c:pt idx="12">
                  <c:v>14.8768989</c:v>
                </c:pt>
                <c:pt idx="13">
                  <c:v>14.8768989</c:v>
                </c:pt>
                <c:pt idx="14">
                  <c:v>66.481672900000007</c:v>
                </c:pt>
                <c:pt idx="15">
                  <c:v>66.584366599999996</c:v>
                </c:pt>
                <c:pt idx="16">
                  <c:v>14.8768989</c:v>
                </c:pt>
                <c:pt idx="17">
                  <c:v>15.5840754</c:v>
                </c:pt>
                <c:pt idx="18">
                  <c:v>14.5887899</c:v>
                </c:pt>
                <c:pt idx="19">
                  <c:v>76.224580000000003</c:v>
                </c:pt>
                <c:pt idx="20">
                  <c:v>15.1388161</c:v>
                </c:pt>
                <c:pt idx="21">
                  <c:v>76.717629599999995</c:v>
                </c:pt>
                <c:pt idx="22">
                  <c:v>74.065705399999999</c:v>
                </c:pt>
                <c:pt idx="23">
                  <c:v>64.359003799999996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C-7443-9A65-D88220D207B5}"/>
            </c:ext>
          </c:extLst>
        </c:ser>
        <c:ser>
          <c:idx val="2"/>
          <c:order val="2"/>
          <c:tx>
            <c:strRef>
              <c:f>'Preliminary Analysis'!$V$2</c:f>
              <c:strCache>
                <c:ptCount val="1"/>
                <c:pt idx="0">
                  <c:v>Large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'Preliminary Analysis'!$V$3:$V$26</c:f>
              <c:numCache>
                <c:formatCode>0.00</c:formatCode>
                <c:ptCount val="24"/>
                <c:pt idx="0">
                  <c:v>66.971807390388705</c:v>
                </c:pt>
                <c:pt idx="1">
                  <c:v>76.249058633673997</c:v>
                </c:pt>
                <c:pt idx="2">
                  <c:v>67.670323703967199</c:v>
                </c:pt>
                <c:pt idx="4">
                  <c:v>75.878867676102701</c:v>
                </c:pt>
                <c:pt idx="6">
                  <c:v>76.396577993545904</c:v>
                </c:pt>
                <c:pt idx="7">
                  <c:v>70.808329197310798</c:v>
                </c:pt>
                <c:pt idx="8">
                  <c:v>64.384550004498294</c:v>
                </c:pt>
                <c:pt idx="9">
                  <c:v>70.696819649245299</c:v>
                </c:pt>
                <c:pt idx="10">
                  <c:v>64.320814464789606</c:v>
                </c:pt>
                <c:pt idx="11">
                  <c:v>72.129319955406899</c:v>
                </c:pt>
                <c:pt idx="12">
                  <c:v>60.742882735522102</c:v>
                </c:pt>
                <c:pt idx="13">
                  <c:v>67.318492652407997</c:v>
                </c:pt>
                <c:pt idx="14">
                  <c:v>67.123645384515001</c:v>
                </c:pt>
                <c:pt idx="15">
                  <c:v>84.384956428242347</c:v>
                </c:pt>
                <c:pt idx="16">
                  <c:v>69.013499480789207</c:v>
                </c:pt>
                <c:pt idx="17">
                  <c:v>66.376663520283799</c:v>
                </c:pt>
                <c:pt idx="18">
                  <c:v>74.297821577687003</c:v>
                </c:pt>
                <c:pt idx="21">
                  <c:v>65.716592519360702</c:v>
                </c:pt>
                <c:pt idx="22">
                  <c:v>67.575164109817607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0C-7443-9A65-D88220D2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6082223"/>
        <c:axId val="96221855"/>
      </c:barChart>
      <c:catAx>
        <c:axId val="9608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21855"/>
        <c:crosses val="autoZero"/>
        <c:auto val="1"/>
        <c:lblAlgn val="ctr"/>
        <c:lblOffset val="100"/>
        <c:noMultiLvlLbl val="0"/>
      </c:catAx>
      <c:valAx>
        <c:axId val="96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Accuarcy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'Preliminary Analysis'!$L$2</c:f>
              <c:strCache>
                <c:ptCount val="1"/>
                <c:pt idx="0">
                  <c:v>Small</c:v>
                </c:pt>
              </c:strCache>
            </c:strRef>
          </c:tx>
          <c:spPr>
            <a:ln w="34925" cap="rnd">
              <a:solidFill>
                <a:schemeClr val="accent4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'Preliminary Analysis'!$L$3:$L$26</c:f>
              <c:numCache>
                <c:formatCode>0.00</c:formatCode>
                <c:ptCount val="24"/>
                <c:pt idx="0">
                  <c:v>85.280251399999997</c:v>
                </c:pt>
                <c:pt idx="1">
                  <c:v>86.013619700000007</c:v>
                </c:pt>
                <c:pt idx="2">
                  <c:v>85.437401800000004</c:v>
                </c:pt>
                <c:pt idx="3">
                  <c:v>86.118386599999994</c:v>
                </c:pt>
                <c:pt idx="4">
                  <c:v>80.618124699999996</c:v>
                </c:pt>
                <c:pt idx="5">
                  <c:v>85.227868000000001</c:v>
                </c:pt>
                <c:pt idx="6">
                  <c:v>85.437401800000004</c:v>
                </c:pt>
                <c:pt idx="7">
                  <c:v>85.1231011</c:v>
                </c:pt>
                <c:pt idx="8">
                  <c:v>84.599266600000007</c:v>
                </c:pt>
                <c:pt idx="9">
                  <c:v>85.1231011</c:v>
                </c:pt>
                <c:pt idx="10">
                  <c:v>86.013619700000007</c:v>
                </c:pt>
                <c:pt idx="11">
                  <c:v>85.1231011</c:v>
                </c:pt>
                <c:pt idx="12">
                  <c:v>85.1231011</c:v>
                </c:pt>
                <c:pt idx="13">
                  <c:v>85.1231011</c:v>
                </c:pt>
                <c:pt idx="14">
                  <c:v>83.918281800000003</c:v>
                </c:pt>
                <c:pt idx="15">
                  <c:v>83.918281800000003</c:v>
                </c:pt>
                <c:pt idx="16">
                  <c:v>85.1231011</c:v>
                </c:pt>
                <c:pt idx="17">
                  <c:v>85.646935600000006</c:v>
                </c:pt>
                <c:pt idx="18">
                  <c:v>85.1231011</c:v>
                </c:pt>
                <c:pt idx="19">
                  <c:v>85.437401800000004</c:v>
                </c:pt>
                <c:pt idx="20">
                  <c:v>85.1231011</c:v>
                </c:pt>
                <c:pt idx="21">
                  <c:v>86.851754799999995</c:v>
                </c:pt>
                <c:pt idx="22">
                  <c:v>86.066003100000003</c:v>
                </c:pt>
                <c:pt idx="23">
                  <c:v>69.931901499999995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EF-AD40-992C-1D89C8E1BE95}"/>
            </c:ext>
          </c:extLst>
        </c:ser>
        <c:ser>
          <c:idx val="1"/>
          <c:order val="1"/>
          <c:tx>
            <c:strRef>
              <c:f>'Preliminary Analysis'!$M$2</c:f>
              <c:strCache>
                <c:ptCount val="1"/>
                <c:pt idx="0">
                  <c:v>Medium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'Preliminary Analysis'!$M$3:$M$26</c:f>
              <c:numCache>
                <c:formatCode>0.00</c:formatCode>
                <c:ptCount val="24"/>
                <c:pt idx="0">
                  <c:v>84.935305</c:v>
                </c:pt>
                <c:pt idx="1">
                  <c:v>85.203327200000004</c:v>
                </c:pt>
                <c:pt idx="2">
                  <c:v>82.948244000000003</c:v>
                </c:pt>
                <c:pt idx="3">
                  <c:v>85.471349399999994</c:v>
                </c:pt>
                <c:pt idx="4">
                  <c:v>78.243992599999999</c:v>
                </c:pt>
                <c:pt idx="5">
                  <c:v>84.454713499999997</c:v>
                </c:pt>
                <c:pt idx="6">
                  <c:v>84.306839199999999</c:v>
                </c:pt>
                <c:pt idx="7">
                  <c:v>85.120147900000006</c:v>
                </c:pt>
                <c:pt idx="8">
                  <c:v>85.443622899999994</c:v>
                </c:pt>
                <c:pt idx="9">
                  <c:v>85.221811500000001</c:v>
                </c:pt>
                <c:pt idx="10">
                  <c:v>86.072088699999995</c:v>
                </c:pt>
                <c:pt idx="11">
                  <c:v>85.415896500000002</c:v>
                </c:pt>
                <c:pt idx="12">
                  <c:v>85.101663599999995</c:v>
                </c:pt>
                <c:pt idx="13">
                  <c:v>85.101663599999995</c:v>
                </c:pt>
                <c:pt idx="14">
                  <c:v>83.622920500000006</c:v>
                </c:pt>
                <c:pt idx="15">
                  <c:v>84.057301300000006</c:v>
                </c:pt>
                <c:pt idx="16">
                  <c:v>85.101663599999995</c:v>
                </c:pt>
                <c:pt idx="17">
                  <c:v>84.057301300000006</c:v>
                </c:pt>
                <c:pt idx="18">
                  <c:v>85.101663599999995</c:v>
                </c:pt>
                <c:pt idx="19">
                  <c:v>85.508317899999994</c:v>
                </c:pt>
                <c:pt idx="20">
                  <c:v>85.101663599999995</c:v>
                </c:pt>
                <c:pt idx="21">
                  <c:v>86.312384499999993</c:v>
                </c:pt>
                <c:pt idx="22">
                  <c:v>85.9057301</c:v>
                </c:pt>
                <c:pt idx="23">
                  <c:v>71.377079499999994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EF-AD40-992C-1D89C8E1BE95}"/>
            </c:ext>
          </c:extLst>
        </c:ser>
        <c:ser>
          <c:idx val="2"/>
          <c:order val="2"/>
          <c:tx>
            <c:strRef>
              <c:f>'Preliminary Analysis'!$N$2</c:f>
              <c:strCache>
                <c:ptCount val="1"/>
                <c:pt idx="0">
                  <c:v>Large</c:v>
                </c:pt>
              </c:strCache>
            </c:strRef>
          </c:tx>
          <c:spPr>
            <a:ln w="34925" cap="rnd">
              <a:solidFill>
                <a:schemeClr val="accent4">
                  <a:shade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'Preliminary Analysis'!$N$3:$N$26</c:f>
              <c:numCache>
                <c:formatCode>0.00</c:formatCode>
                <c:ptCount val="24"/>
                <c:pt idx="0">
                  <c:v>85.070717653221607</c:v>
                </c:pt>
                <c:pt idx="1">
                  <c:v>85.961236249345205</c:v>
                </c:pt>
                <c:pt idx="2">
                  <c:v>84.494499738082794</c:v>
                </c:pt>
                <c:pt idx="3">
                  <c:v>73.113207547169793</c:v>
                </c:pt>
                <c:pt idx="4">
                  <c:v>84.748427672955998</c:v>
                </c:pt>
                <c:pt idx="5">
                  <c:v>79.402515723270398</c:v>
                </c:pt>
                <c:pt idx="6">
                  <c:v>85.8564693556836</c:v>
                </c:pt>
                <c:pt idx="7">
                  <c:v>83.184913567312705</c:v>
                </c:pt>
                <c:pt idx="8">
                  <c:v>85.770440251572296</c:v>
                </c:pt>
                <c:pt idx="9">
                  <c:v>83.996856993190192</c:v>
                </c:pt>
                <c:pt idx="10">
                  <c:v>85.123101100052395</c:v>
                </c:pt>
                <c:pt idx="11">
                  <c:v>85.123101100052395</c:v>
                </c:pt>
                <c:pt idx="12">
                  <c:v>86.877946568884198</c:v>
                </c:pt>
                <c:pt idx="13">
                  <c:v>85.132305267007354</c:v>
                </c:pt>
                <c:pt idx="14">
                  <c:v>85.613207547169793</c:v>
                </c:pt>
                <c:pt idx="15">
                  <c:v>86.485070717653201</c:v>
                </c:pt>
                <c:pt idx="16">
                  <c:v>85.123101100052395</c:v>
                </c:pt>
                <c:pt idx="17">
                  <c:v>84.965950759560002</c:v>
                </c:pt>
                <c:pt idx="18">
                  <c:v>85.227867993714</c:v>
                </c:pt>
                <c:pt idx="19">
                  <c:v>85.280251440544802</c:v>
                </c:pt>
                <c:pt idx="20">
                  <c:v>84.232582503928796</c:v>
                </c:pt>
                <c:pt idx="21">
                  <c:v>85.908852802514403</c:v>
                </c:pt>
                <c:pt idx="22">
                  <c:v>85.123101100052395</c:v>
                </c:pt>
                <c:pt idx="23">
                  <c:v>85.123101100052395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EF-AD40-992C-1D89C8E1B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749904"/>
        <c:axId val="2016619136"/>
      </c:lineChart>
      <c:catAx>
        <c:axId val="170574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19136"/>
        <c:crosses val="autoZero"/>
        <c:auto val="1"/>
        <c:lblAlgn val="ctr"/>
        <c:lblOffset val="100"/>
        <c:noMultiLvlLbl val="0"/>
      </c:catAx>
      <c:valAx>
        <c:axId val="2016619136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7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Macro</a:t>
            </a:r>
            <a:r>
              <a:rPr lang="en-US" baseline="0"/>
              <a:t> Recall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'Preliminary Analysis'!$D$2</c:f>
              <c:strCache>
                <c:ptCount val="1"/>
                <c:pt idx="0">
                  <c:v>Small</c:v>
                </c:pt>
              </c:strCache>
            </c:strRef>
          </c:tx>
          <c:spPr>
            <a:ln w="34925" cap="rnd">
              <a:solidFill>
                <a:schemeClr val="accent4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'Preliminary Analysis'!$D$3:$D$26</c:f>
              <c:numCache>
                <c:formatCode>0.00</c:formatCode>
                <c:ptCount val="24"/>
                <c:pt idx="0">
                  <c:v>62.084507000000002</c:v>
                </c:pt>
                <c:pt idx="1">
                  <c:v>57.8267606</c:v>
                </c:pt>
                <c:pt idx="2">
                  <c:v>57.448970699999997</c:v>
                </c:pt>
                <c:pt idx="3">
                  <c:v>57.848970700000002</c:v>
                </c:pt>
                <c:pt idx="4">
                  <c:v>58.5802817</c:v>
                </c:pt>
                <c:pt idx="5">
                  <c:v>57.004550399999999</c:v>
                </c:pt>
                <c:pt idx="6">
                  <c:v>59.1172264</c:v>
                </c:pt>
                <c:pt idx="7">
                  <c:v>50</c:v>
                </c:pt>
                <c:pt idx="8">
                  <c:v>51.178701099999998</c:v>
                </c:pt>
                <c:pt idx="9">
                  <c:v>50.528168999999998</c:v>
                </c:pt>
                <c:pt idx="10">
                  <c:v>55.980036300000002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60.404225400000001</c:v>
                </c:pt>
                <c:pt idx="15">
                  <c:v>58.7223185</c:v>
                </c:pt>
                <c:pt idx="16">
                  <c:v>50</c:v>
                </c:pt>
                <c:pt idx="17">
                  <c:v>52.499135799999998</c:v>
                </c:pt>
                <c:pt idx="18">
                  <c:v>50</c:v>
                </c:pt>
                <c:pt idx="19">
                  <c:v>51.346912199999998</c:v>
                </c:pt>
                <c:pt idx="20">
                  <c:v>50</c:v>
                </c:pt>
                <c:pt idx="21">
                  <c:v>59.151462600000002</c:v>
                </c:pt>
                <c:pt idx="22">
                  <c:v>59.592416</c:v>
                </c:pt>
                <c:pt idx="23">
                  <c:v>70.715492999999995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F-3F4F-A088-76A87EADEF44}"/>
            </c:ext>
          </c:extLst>
        </c:ser>
        <c:ser>
          <c:idx val="1"/>
          <c:order val="1"/>
          <c:tx>
            <c:strRef>
              <c:f>'Preliminary Analysis'!$E$2</c:f>
              <c:strCache>
                <c:ptCount val="1"/>
                <c:pt idx="0">
                  <c:v>Medium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'Preliminary Analysis'!$E$3:$E$26</c:f>
              <c:numCache>
                <c:formatCode>0.00</c:formatCode>
                <c:ptCount val="24"/>
                <c:pt idx="0">
                  <c:v>60.1564464</c:v>
                </c:pt>
                <c:pt idx="1">
                  <c:v>58.3429036</c:v>
                </c:pt>
                <c:pt idx="2">
                  <c:v>59.616251400000003</c:v>
                </c:pt>
                <c:pt idx="3">
                  <c:v>55.691874300000002</c:v>
                </c:pt>
                <c:pt idx="4">
                  <c:v>59.706500499999997</c:v>
                </c:pt>
                <c:pt idx="5">
                  <c:v>59.153087800000002</c:v>
                </c:pt>
                <c:pt idx="6">
                  <c:v>58.060888400000003</c:v>
                </c:pt>
                <c:pt idx="7">
                  <c:v>50.176056299999999</c:v>
                </c:pt>
                <c:pt idx="8">
                  <c:v>53.777464799999997</c:v>
                </c:pt>
                <c:pt idx="9">
                  <c:v>51.232394399999997</c:v>
                </c:pt>
                <c:pt idx="10">
                  <c:v>59.983857</c:v>
                </c:pt>
                <c:pt idx="11">
                  <c:v>83.429360099999997</c:v>
                </c:pt>
                <c:pt idx="12">
                  <c:v>50</c:v>
                </c:pt>
                <c:pt idx="13">
                  <c:v>50</c:v>
                </c:pt>
                <c:pt idx="14">
                  <c:v>62.368147299999997</c:v>
                </c:pt>
                <c:pt idx="15">
                  <c:v>59.999133299999997</c:v>
                </c:pt>
                <c:pt idx="16">
                  <c:v>50</c:v>
                </c:pt>
                <c:pt idx="17">
                  <c:v>81.320557100000002</c:v>
                </c:pt>
                <c:pt idx="18">
                  <c:v>50</c:v>
                </c:pt>
                <c:pt idx="19">
                  <c:v>52.570747599999997</c:v>
                </c:pt>
                <c:pt idx="20">
                  <c:v>50</c:v>
                </c:pt>
                <c:pt idx="21">
                  <c:v>60.0761647</c:v>
                </c:pt>
                <c:pt idx="22">
                  <c:v>58.896749700000001</c:v>
                </c:pt>
                <c:pt idx="23">
                  <c:v>76.299783300000001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F-3F4F-A088-76A87EADEF44}"/>
            </c:ext>
          </c:extLst>
        </c:ser>
        <c:ser>
          <c:idx val="2"/>
          <c:order val="2"/>
          <c:tx>
            <c:strRef>
              <c:f>'Preliminary Analysis'!$F$2</c:f>
              <c:strCache>
                <c:ptCount val="1"/>
                <c:pt idx="0">
                  <c:v>Large</c:v>
                </c:pt>
              </c:strCache>
            </c:strRef>
          </c:tx>
          <c:spPr>
            <a:ln w="34925" cap="rnd">
              <a:solidFill>
                <a:schemeClr val="accent4">
                  <a:shade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'Preliminary Analysis'!$F$3:$F$26</c:f>
              <c:numCache>
                <c:formatCode>0.00</c:formatCode>
                <c:ptCount val="24"/>
                <c:pt idx="0">
                  <c:v>60.756338028168997</c:v>
                </c:pt>
                <c:pt idx="1">
                  <c:v>54.795614767913897</c:v>
                </c:pt>
                <c:pt idx="2">
                  <c:v>61.826349499479697</c:v>
                </c:pt>
                <c:pt idx="3">
                  <c:v>75.038473376423497</c:v>
                </c:pt>
                <c:pt idx="4">
                  <c:v>60.641820151679298</c:v>
                </c:pt>
                <c:pt idx="5">
                  <c:v>60.875731310942598</c:v>
                </c:pt>
                <c:pt idx="6">
                  <c:v>58.175406283857001</c:v>
                </c:pt>
                <c:pt idx="7">
                  <c:v>60.629794149512499</c:v>
                </c:pt>
                <c:pt idx="8">
                  <c:v>60.270179759744202</c:v>
                </c:pt>
                <c:pt idx="9">
                  <c:v>59.694464294269196</c:v>
                </c:pt>
                <c:pt idx="10">
                  <c:v>50</c:v>
                </c:pt>
                <c:pt idx="11">
                  <c:v>50</c:v>
                </c:pt>
                <c:pt idx="12">
                  <c:v>62.033256924393399</c:v>
                </c:pt>
                <c:pt idx="13">
                  <c:v>53.421072589382447</c:v>
                </c:pt>
                <c:pt idx="14">
                  <c:v>59.9188515709643</c:v>
                </c:pt>
                <c:pt idx="15">
                  <c:v>60.763018657755502</c:v>
                </c:pt>
                <c:pt idx="16">
                  <c:v>50</c:v>
                </c:pt>
                <c:pt idx="17">
                  <c:v>56.789165763813699</c:v>
                </c:pt>
                <c:pt idx="18">
                  <c:v>56.049079089924199</c:v>
                </c:pt>
                <c:pt idx="19">
                  <c:v>51.415716014173398</c:v>
                </c:pt>
                <c:pt idx="20">
                  <c:v>60.5285142681265</c:v>
                </c:pt>
                <c:pt idx="21">
                  <c:v>54.001963974263099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1F-3F4F-A088-76A87EADE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2806448"/>
        <c:axId val="1562808160"/>
      </c:lineChart>
      <c:catAx>
        <c:axId val="156280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08160"/>
        <c:crosses val="autoZero"/>
        <c:auto val="1"/>
        <c:lblAlgn val="ctr"/>
        <c:lblOffset val="100"/>
        <c:noMultiLvlLbl val="0"/>
      </c:catAx>
      <c:valAx>
        <c:axId val="1562808160"/>
        <c:scaling>
          <c:orientation val="minMax"/>
          <c:max val="85"/>
          <c:min val="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0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Macro Precision</a:t>
            </a:r>
            <a:r>
              <a:rPr lang="en-US" baseline="0"/>
              <a:t> Z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'Preliminary Analysis'!$AB$2</c:f>
              <c:strCache>
                <c:ptCount val="1"/>
                <c:pt idx="0">
                  <c:v>Small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'Preliminary Analysis'!$AB$3:$AB$26</c:f>
              <c:numCache>
                <c:formatCode>0.00</c:formatCode>
                <c:ptCount val="24"/>
                <c:pt idx="0">
                  <c:v>-0.30202785406247257</c:v>
                </c:pt>
                <c:pt idx="1">
                  <c:v>1.6899366572165841E-2</c:v>
                </c:pt>
                <c:pt idx="2">
                  <c:v>-0.42043932075476703</c:v>
                </c:pt>
                <c:pt idx="3">
                  <c:v>-0.11165499736139571</c:v>
                </c:pt>
                <c:pt idx="4">
                  <c:v>-1.1341376013882749</c:v>
                </c:pt>
                <c:pt idx="5">
                  <c:v>-0.32484140506331033</c:v>
                </c:pt>
                <c:pt idx="6">
                  <c:v>-0.30072717687888134</c:v>
                </c:pt>
                <c:pt idx="7">
                  <c:v>0.65125911601382547</c:v>
                </c:pt>
                <c:pt idx="8">
                  <c:v>-0.92202650385006468</c:v>
                </c:pt>
                <c:pt idx="9">
                  <c:v>1.1884411260957579</c:v>
                </c:pt>
                <c:pt idx="10">
                  <c:v>-1.6899366572165841E-2</c:v>
                </c:pt>
                <c:pt idx="11">
                  <c:v>0.65125911601382547</c:v>
                </c:pt>
                <c:pt idx="12">
                  <c:v>0.65125911601382547</c:v>
                </c:pt>
                <c:pt idx="13">
                  <c:v>0.65125911601382547</c:v>
                </c:pt>
                <c:pt idx="14">
                  <c:v>-0.6748441382324778</c:v>
                </c:pt>
                <c:pt idx="15">
                  <c:v>-0.69928023443809983</c:v>
                </c:pt>
                <c:pt idx="16">
                  <c:v>0.65125911601382547</c:v>
                </c:pt>
                <c:pt idx="17">
                  <c:v>0.40982466867414014</c:v>
                </c:pt>
                <c:pt idx="18">
                  <c:v>0.65125911601382547</c:v>
                </c:pt>
                <c:pt idx="19">
                  <c:v>0.48019520571530983</c:v>
                </c:pt>
                <c:pt idx="20">
                  <c:v>0.65125911601382547</c:v>
                </c:pt>
                <c:pt idx="21">
                  <c:v>0.22829720268590328</c:v>
                </c:pt>
                <c:pt idx="22">
                  <c:v>-0.18987954784811234</c:v>
                </c:pt>
                <c:pt idx="23">
                  <c:v>-0.97827819217473366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3-B04D-B606-BC59C1768A80}"/>
            </c:ext>
          </c:extLst>
        </c:ser>
        <c:ser>
          <c:idx val="1"/>
          <c:order val="1"/>
          <c:tx>
            <c:strRef>
              <c:f>'Preliminary Analysis'!$AC$2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'Preliminary Analysis'!$AC$3:$AC$26</c:f>
              <c:numCache>
                <c:formatCode>0.00</c:formatCode>
                <c:ptCount val="24"/>
                <c:pt idx="0">
                  <c:v>-0.38024544771663843</c:v>
                </c:pt>
                <c:pt idx="1">
                  <c:v>-0.49337995651729116</c:v>
                </c:pt>
                <c:pt idx="2">
                  <c:v>-0.71448422020214486</c:v>
                </c:pt>
                <c:pt idx="3">
                  <c:v>-8.1614428184418955E-2</c:v>
                </c:pt>
                <c:pt idx="4">
                  <c:v>-1.2750058309099981</c:v>
                </c:pt>
                <c:pt idx="5">
                  <c:v>-0.51683896129694695</c:v>
                </c:pt>
                <c:pt idx="6">
                  <c:v>-0.40450802391368218</c:v>
                </c:pt>
                <c:pt idx="7">
                  <c:v>1.185242987148666</c:v>
                </c:pt>
                <c:pt idx="8">
                  <c:v>-0.57046584099489983</c:v>
                </c:pt>
                <c:pt idx="9">
                  <c:v>1.1948575873930172</c:v>
                </c:pt>
                <c:pt idx="10">
                  <c:v>-2.2228958770979704E-2</c:v>
                </c:pt>
                <c:pt idx="11">
                  <c:v>-4.4082950029096857</c:v>
                </c:pt>
                <c:pt idx="12">
                  <c:v>-4.3764267478545262</c:v>
                </c:pt>
                <c:pt idx="13">
                  <c:v>-4.3764267478545262</c:v>
                </c:pt>
                <c:pt idx="14">
                  <c:v>-0.68295173251880614</c:v>
                </c:pt>
                <c:pt idx="15">
                  <c:v>-0.67560170294242738</c:v>
                </c:pt>
                <c:pt idx="16">
                  <c:v>-4.3764267478545262</c:v>
                </c:pt>
                <c:pt idx="17">
                  <c:v>-4.3258124629400614</c:v>
                </c:pt>
                <c:pt idx="18">
                  <c:v>-4.3970473864255499</c:v>
                </c:pt>
                <c:pt idx="19">
                  <c:v>1.4371037475050944E-2</c:v>
                </c:pt>
                <c:pt idx="20">
                  <c:v>-4.3576807179952208</c:v>
                </c:pt>
                <c:pt idx="21">
                  <c:v>4.9659756672256243E-2</c:v>
                </c:pt>
                <c:pt idx="22">
                  <c:v>-0.14014469388621636</c:v>
                </c:pt>
                <c:pt idx="23">
                  <c:v>-0.83487615111378333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3-B04D-B606-BC59C1768A80}"/>
            </c:ext>
          </c:extLst>
        </c:ser>
        <c:ser>
          <c:idx val="2"/>
          <c:order val="2"/>
          <c:tx>
            <c:strRef>
              <c:f>'Preliminary Analysis'!$AD$2</c:f>
              <c:strCache>
                <c:ptCount val="1"/>
                <c:pt idx="0">
                  <c:v>Large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'Preliminary Analysis'!$AD$3:$AD$26</c:f>
              <c:numCache>
                <c:formatCode>0.00</c:formatCode>
                <c:ptCount val="24"/>
                <c:pt idx="0">
                  <c:v>-0.10681763211942884</c:v>
                </c:pt>
                <c:pt idx="1">
                  <c:v>1.3118665004071386</c:v>
                </c:pt>
                <c:pt idx="2">
                  <c:v>0</c:v>
                </c:pt>
                <c:pt idx="3">
                  <c:v>-10.348196029641844</c:v>
                </c:pt>
                <c:pt idx="4">
                  <c:v>1.2552566249452304</c:v>
                </c:pt>
                <c:pt idx="5">
                  <c:v>-10.348196029641844</c:v>
                </c:pt>
                <c:pt idx="6">
                  <c:v>1.3344252701981614</c:v>
                </c:pt>
                <c:pt idx="7">
                  <c:v>0.4798661246142199</c:v>
                </c:pt>
                <c:pt idx="8">
                  <c:v>-0.50246294815865267</c:v>
                </c:pt>
                <c:pt idx="9">
                  <c:v>0.46281400191998634</c:v>
                </c:pt>
                <c:pt idx="10">
                  <c:v>-0.51220943410492659</c:v>
                </c:pt>
                <c:pt idx="11">
                  <c:v>0.6818730099059811</c:v>
                </c:pt>
                <c:pt idx="12">
                  <c:v>-1.0593494046052443</c:v>
                </c:pt>
                <c:pt idx="13">
                  <c:v>-5.380226503388523E-2</c:v>
                </c:pt>
                <c:pt idx="14">
                  <c:v>-8.3598453579066589E-2</c:v>
                </c:pt>
                <c:pt idx="15">
                  <c:v>2.5560140180639555</c:v>
                </c:pt>
                <c:pt idx="16">
                  <c:v>0.20539943478954784</c:v>
                </c:pt>
                <c:pt idx="17">
                  <c:v>-0.19782747360662439</c:v>
                </c:pt>
                <c:pt idx="18">
                  <c:v>1.0134818843679678</c:v>
                </c:pt>
                <c:pt idx="19">
                  <c:v>-10.348196029641844</c:v>
                </c:pt>
                <c:pt idx="20">
                  <c:v>-10.348196029641844</c:v>
                </c:pt>
                <c:pt idx="21">
                  <c:v>-0.29876602003526609</c:v>
                </c:pt>
                <c:pt idx="22">
                  <c:v>-1.4551875629692181E-2</c:v>
                </c:pt>
                <c:pt idx="23">
                  <c:v>-10.348196029641844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53-B04D-B606-BC59C1768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17178272"/>
        <c:axId val="1665521712"/>
      </c:barChart>
      <c:catAx>
        <c:axId val="20171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521712"/>
        <c:crosses val="autoZero"/>
        <c:auto val="1"/>
        <c:lblAlgn val="ctr"/>
        <c:lblOffset val="100"/>
        <c:noMultiLvlLbl val="0"/>
      </c:catAx>
      <c:valAx>
        <c:axId val="16655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1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none" spc="100" normalizeH="0" baseline="0" noProof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Aptos Narrow" panose="02110004020202020204"/>
              </a:rPr>
              <a:t>2.1 Tree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'Preliminary Analysis'!$BW$2</c:f>
              <c:strCache>
                <c:ptCount val="1"/>
                <c:pt idx="0">
                  <c:v>Error Rate Rank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'Preliminary Analysis'!$BU$3:$BV$26</c:f>
              <c:multiLvlStrCache>
                <c:ptCount val="24"/>
                <c:lvl>
                  <c:pt idx="0">
                    <c:v>Tree</c:v>
                  </c:pt>
                  <c:pt idx="1">
                    <c:v>SVM</c:v>
                  </c:pt>
                  <c:pt idx="2">
                    <c:v>SVM</c:v>
                  </c:pt>
                  <c:pt idx="3">
                    <c:v>SVM</c:v>
                  </c:pt>
                  <c:pt idx="4">
                    <c:v>SVM</c:v>
                  </c:pt>
                  <c:pt idx="5">
                    <c:v>SVM</c:v>
                  </c:pt>
                  <c:pt idx="6">
                    <c:v>Ensemble</c:v>
                  </c:pt>
                  <c:pt idx="7">
                    <c:v>Ensemble</c:v>
                  </c:pt>
                  <c:pt idx="8">
                    <c:v>Ensemble</c:v>
                  </c:pt>
                  <c:pt idx="9">
                    <c:v>Neural Network</c:v>
                  </c:pt>
                  <c:pt idx="10">
                    <c:v>Neural Network</c:v>
                  </c:pt>
                  <c:pt idx="11">
                    <c:v>Tree</c:v>
                  </c:pt>
                  <c:pt idx="12">
                    <c:v>Neural Network</c:v>
                  </c:pt>
                  <c:pt idx="13">
                    <c:v>Neural Network</c:v>
                  </c:pt>
                  <c:pt idx="14">
                    <c:v>Neural Network</c:v>
                  </c:pt>
                  <c:pt idx="15">
                    <c:v>Kernel</c:v>
                  </c:pt>
                  <c:pt idx="16">
                    <c:v>Kernel</c:v>
                  </c:pt>
                  <c:pt idx="17">
                    <c:v>Tree</c:v>
                  </c:pt>
                  <c:pt idx="18">
                    <c:v>Logistic Regression</c:v>
                  </c:pt>
                  <c:pt idx="19">
                    <c:v>Efficient Logistic Regression</c:v>
                  </c:pt>
                  <c:pt idx="20">
                    <c:v>Efficient Linear SVM</c:v>
                  </c:pt>
                  <c:pt idx="21">
                    <c:v>Naive Bayes</c:v>
                  </c:pt>
                  <c:pt idx="22">
                    <c:v>Naive Bayes</c:v>
                  </c:pt>
                  <c:pt idx="23">
                    <c:v>SVM</c:v>
                  </c:pt>
                </c:lvl>
                <c:lvl>
                  <c:pt idx="0">
                    <c:v>2.1</c:v>
                  </c:pt>
                  <c:pt idx="1">
                    <c:v>2.1</c:v>
                  </c:pt>
                  <c:pt idx="2">
                    <c:v>2.11</c:v>
                  </c:pt>
                  <c:pt idx="3">
                    <c:v>2.12</c:v>
                  </c:pt>
                  <c:pt idx="4">
                    <c:v>2.13</c:v>
                  </c:pt>
                  <c:pt idx="5">
                    <c:v>2.14</c:v>
                  </c:pt>
                  <c:pt idx="6">
                    <c:v>2.15</c:v>
                  </c:pt>
                  <c:pt idx="7">
                    <c:v>2.16</c:v>
                  </c:pt>
                  <c:pt idx="8">
                    <c:v>2.17</c:v>
                  </c:pt>
                  <c:pt idx="9">
                    <c:v>2.18</c:v>
                  </c:pt>
                  <c:pt idx="10">
                    <c:v>2.19</c:v>
                  </c:pt>
                  <c:pt idx="11">
                    <c:v>2.2</c:v>
                  </c:pt>
                  <c:pt idx="12">
                    <c:v>2.2</c:v>
                  </c:pt>
                  <c:pt idx="13">
                    <c:v>2.21</c:v>
                  </c:pt>
                  <c:pt idx="14">
                    <c:v>2.22</c:v>
                  </c:pt>
                  <c:pt idx="15">
                    <c:v>2.23</c:v>
                  </c:pt>
                  <c:pt idx="16">
                    <c:v>2.24</c:v>
                  </c:pt>
                  <c:pt idx="17">
                    <c:v>2.3</c:v>
                  </c:pt>
                  <c:pt idx="18">
                    <c:v>2.4</c:v>
                  </c:pt>
                  <c:pt idx="19">
                    <c:v>2.5</c:v>
                  </c:pt>
                  <c:pt idx="20">
                    <c:v>2.6</c:v>
                  </c:pt>
                  <c:pt idx="21">
                    <c:v>2.7</c:v>
                  </c:pt>
                  <c:pt idx="22">
                    <c:v>2.8</c:v>
                  </c:pt>
                  <c:pt idx="23">
                    <c:v>2.9</c:v>
                  </c:pt>
                </c:lvl>
              </c:multiLvlStrCache>
            </c:multiLvlStrRef>
          </c:cat>
          <c:val>
            <c:numRef>
              <c:f>'Preliminary Analysis'!$BW$3:$BW$26</c:f>
              <c:numCache>
                <c:formatCode>0.0</c:formatCode>
                <c:ptCount val="24"/>
                <c:pt idx="0">
                  <c:v>13.333333333333334</c:v>
                </c:pt>
                <c:pt idx="1">
                  <c:v>5</c:v>
                </c:pt>
                <c:pt idx="2">
                  <c:v>15.666666666666666</c:v>
                </c:pt>
                <c:pt idx="3">
                  <c:v>11</c:v>
                </c:pt>
                <c:pt idx="4">
                  <c:v>20.666666666666668</c:v>
                </c:pt>
                <c:pt idx="5">
                  <c:v>17.333333333333332</c:v>
                </c:pt>
                <c:pt idx="6">
                  <c:v>9.3333333333333339</c:v>
                </c:pt>
                <c:pt idx="7">
                  <c:v>14.666666666666666</c:v>
                </c:pt>
                <c:pt idx="8">
                  <c:v>10.333333333333334</c:v>
                </c:pt>
                <c:pt idx="9">
                  <c:v>11.333333333333334</c:v>
                </c:pt>
                <c:pt idx="10">
                  <c:v>5.333333333333333</c:v>
                </c:pt>
                <c:pt idx="11">
                  <c:v>12.333333333333334</c:v>
                </c:pt>
                <c:pt idx="12">
                  <c:v>9.3333333333333339</c:v>
                </c:pt>
                <c:pt idx="13">
                  <c:v>12.333333333333334</c:v>
                </c:pt>
                <c:pt idx="14">
                  <c:v>15.666666666666666</c:v>
                </c:pt>
                <c:pt idx="15">
                  <c:v>13.333333333333334</c:v>
                </c:pt>
                <c:pt idx="16">
                  <c:v>12.666666666666666</c:v>
                </c:pt>
                <c:pt idx="17">
                  <c:v>13.666666666666666</c:v>
                </c:pt>
                <c:pt idx="18">
                  <c:v>12</c:v>
                </c:pt>
                <c:pt idx="19">
                  <c:v>8</c:v>
                </c:pt>
                <c:pt idx="20">
                  <c:v>15.666666666666666</c:v>
                </c:pt>
                <c:pt idx="21">
                  <c:v>2.3333333333333335</c:v>
                </c:pt>
                <c:pt idx="22">
                  <c:v>6</c:v>
                </c:pt>
                <c:pt idx="23">
                  <c:v>20.333333333333332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E-E249-9A15-696E86DE926C}"/>
            </c:ext>
          </c:extLst>
        </c:ser>
        <c:ser>
          <c:idx val="1"/>
          <c:order val="1"/>
          <c:tx>
            <c:strRef>
              <c:f>'Preliminary Analysis'!$BX$2</c:f>
              <c:strCache>
                <c:ptCount val="1"/>
                <c:pt idx="0">
                  <c:v>Accuracy Rank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'Preliminary Analysis'!$BU$3:$BV$26</c:f>
              <c:multiLvlStrCache>
                <c:ptCount val="24"/>
                <c:lvl>
                  <c:pt idx="0">
                    <c:v>Tree</c:v>
                  </c:pt>
                  <c:pt idx="1">
                    <c:v>SVM</c:v>
                  </c:pt>
                  <c:pt idx="2">
                    <c:v>SVM</c:v>
                  </c:pt>
                  <c:pt idx="3">
                    <c:v>SVM</c:v>
                  </c:pt>
                  <c:pt idx="4">
                    <c:v>SVM</c:v>
                  </c:pt>
                  <c:pt idx="5">
                    <c:v>SVM</c:v>
                  </c:pt>
                  <c:pt idx="6">
                    <c:v>Ensemble</c:v>
                  </c:pt>
                  <c:pt idx="7">
                    <c:v>Ensemble</c:v>
                  </c:pt>
                  <c:pt idx="8">
                    <c:v>Ensemble</c:v>
                  </c:pt>
                  <c:pt idx="9">
                    <c:v>Neural Network</c:v>
                  </c:pt>
                  <c:pt idx="10">
                    <c:v>Neural Network</c:v>
                  </c:pt>
                  <c:pt idx="11">
                    <c:v>Tree</c:v>
                  </c:pt>
                  <c:pt idx="12">
                    <c:v>Neural Network</c:v>
                  </c:pt>
                  <c:pt idx="13">
                    <c:v>Neural Network</c:v>
                  </c:pt>
                  <c:pt idx="14">
                    <c:v>Neural Network</c:v>
                  </c:pt>
                  <c:pt idx="15">
                    <c:v>Kernel</c:v>
                  </c:pt>
                  <c:pt idx="16">
                    <c:v>Kernel</c:v>
                  </c:pt>
                  <c:pt idx="17">
                    <c:v>Tree</c:v>
                  </c:pt>
                  <c:pt idx="18">
                    <c:v>Logistic Regression</c:v>
                  </c:pt>
                  <c:pt idx="19">
                    <c:v>Efficient Logistic Regression</c:v>
                  </c:pt>
                  <c:pt idx="20">
                    <c:v>Efficient Linear SVM</c:v>
                  </c:pt>
                  <c:pt idx="21">
                    <c:v>Naive Bayes</c:v>
                  </c:pt>
                  <c:pt idx="22">
                    <c:v>Naive Bayes</c:v>
                  </c:pt>
                  <c:pt idx="23">
                    <c:v>SVM</c:v>
                  </c:pt>
                </c:lvl>
                <c:lvl>
                  <c:pt idx="0">
                    <c:v>2.1</c:v>
                  </c:pt>
                  <c:pt idx="1">
                    <c:v>2.1</c:v>
                  </c:pt>
                  <c:pt idx="2">
                    <c:v>2.11</c:v>
                  </c:pt>
                  <c:pt idx="3">
                    <c:v>2.12</c:v>
                  </c:pt>
                  <c:pt idx="4">
                    <c:v>2.13</c:v>
                  </c:pt>
                  <c:pt idx="5">
                    <c:v>2.14</c:v>
                  </c:pt>
                  <c:pt idx="6">
                    <c:v>2.15</c:v>
                  </c:pt>
                  <c:pt idx="7">
                    <c:v>2.16</c:v>
                  </c:pt>
                  <c:pt idx="8">
                    <c:v>2.17</c:v>
                  </c:pt>
                  <c:pt idx="9">
                    <c:v>2.18</c:v>
                  </c:pt>
                  <c:pt idx="10">
                    <c:v>2.19</c:v>
                  </c:pt>
                  <c:pt idx="11">
                    <c:v>2.2</c:v>
                  </c:pt>
                  <c:pt idx="12">
                    <c:v>2.2</c:v>
                  </c:pt>
                  <c:pt idx="13">
                    <c:v>2.21</c:v>
                  </c:pt>
                  <c:pt idx="14">
                    <c:v>2.22</c:v>
                  </c:pt>
                  <c:pt idx="15">
                    <c:v>2.23</c:v>
                  </c:pt>
                  <c:pt idx="16">
                    <c:v>2.24</c:v>
                  </c:pt>
                  <c:pt idx="17">
                    <c:v>2.3</c:v>
                  </c:pt>
                  <c:pt idx="18">
                    <c:v>2.4</c:v>
                  </c:pt>
                  <c:pt idx="19">
                    <c:v>2.5</c:v>
                  </c:pt>
                  <c:pt idx="20">
                    <c:v>2.6</c:v>
                  </c:pt>
                  <c:pt idx="21">
                    <c:v>2.7</c:v>
                  </c:pt>
                  <c:pt idx="22">
                    <c:v>2.8</c:v>
                  </c:pt>
                  <c:pt idx="23">
                    <c:v>2.9</c:v>
                  </c:pt>
                </c:lvl>
              </c:multiLvlStrCache>
            </c:multiLvlStrRef>
          </c:cat>
          <c:val>
            <c:numRef>
              <c:f>'Preliminary Analysis'!$BX$3:$BX$26</c:f>
              <c:numCache>
                <c:formatCode>0.0</c:formatCode>
                <c:ptCount val="24"/>
                <c:pt idx="0">
                  <c:v>10.666666666666666</c:v>
                </c:pt>
                <c:pt idx="1">
                  <c:v>4.333333333333333</c:v>
                </c:pt>
                <c:pt idx="2">
                  <c:v>14.333333333333334</c:v>
                </c:pt>
                <c:pt idx="3">
                  <c:v>10</c:v>
                </c:pt>
                <c:pt idx="4">
                  <c:v>20.333333333333332</c:v>
                </c:pt>
                <c:pt idx="5">
                  <c:v>14.333333333333334</c:v>
                </c:pt>
                <c:pt idx="6">
                  <c:v>9.3333333333333339</c:v>
                </c:pt>
                <c:pt idx="7">
                  <c:v>14</c:v>
                </c:pt>
                <c:pt idx="8">
                  <c:v>10.666666666666666</c:v>
                </c:pt>
                <c:pt idx="9">
                  <c:v>11.666666666666666</c:v>
                </c:pt>
                <c:pt idx="10">
                  <c:v>4.666666666666667</c:v>
                </c:pt>
                <c:pt idx="11">
                  <c:v>9.3333333333333339</c:v>
                </c:pt>
                <c:pt idx="12">
                  <c:v>12.666666666666666</c:v>
                </c:pt>
                <c:pt idx="13">
                  <c:v>16.666666666666668</c:v>
                </c:pt>
                <c:pt idx="14">
                  <c:v>15.333333333333334</c:v>
                </c:pt>
                <c:pt idx="15">
                  <c:v>12.666666666666666</c:v>
                </c:pt>
                <c:pt idx="16">
                  <c:v>16</c:v>
                </c:pt>
                <c:pt idx="17">
                  <c:v>11</c:v>
                </c:pt>
                <c:pt idx="18">
                  <c:v>17.333333333333332</c:v>
                </c:pt>
                <c:pt idx="19">
                  <c:v>8</c:v>
                </c:pt>
                <c:pt idx="20">
                  <c:v>19</c:v>
                </c:pt>
                <c:pt idx="21">
                  <c:v>2</c:v>
                </c:pt>
                <c:pt idx="22">
                  <c:v>5.333333333333333</c:v>
                </c:pt>
                <c:pt idx="23">
                  <c:v>19.666666666666668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AE-E249-9A15-696E86DE926C}"/>
            </c:ext>
          </c:extLst>
        </c:ser>
        <c:ser>
          <c:idx val="2"/>
          <c:order val="2"/>
          <c:tx>
            <c:strRef>
              <c:f>'Preliminary Analysis'!$BY$2</c:f>
              <c:strCache>
                <c:ptCount val="1"/>
                <c:pt idx="0">
                  <c:v>Training Time Rank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'Preliminary Analysis'!$BU$3:$BV$26</c:f>
              <c:multiLvlStrCache>
                <c:ptCount val="24"/>
                <c:lvl>
                  <c:pt idx="0">
                    <c:v>Tree</c:v>
                  </c:pt>
                  <c:pt idx="1">
                    <c:v>SVM</c:v>
                  </c:pt>
                  <c:pt idx="2">
                    <c:v>SVM</c:v>
                  </c:pt>
                  <c:pt idx="3">
                    <c:v>SVM</c:v>
                  </c:pt>
                  <c:pt idx="4">
                    <c:v>SVM</c:v>
                  </c:pt>
                  <c:pt idx="5">
                    <c:v>SVM</c:v>
                  </c:pt>
                  <c:pt idx="6">
                    <c:v>Ensemble</c:v>
                  </c:pt>
                  <c:pt idx="7">
                    <c:v>Ensemble</c:v>
                  </c:pt>
                  <c:pt idx="8">
                    <c:v>Ensemble</c:v>
                  </c:pt>
                  <c:pt idx="9">
                    <c:v>Neural Network</c:v>
                  </c:pt>
                  <c:pt idx="10">
                    <c:v>Neural Network</c:v>
                  </c:pt>
                  <c:pt idx="11">
                    <c:v>Tree</c:v>
                  </c:pt>
                  <c:pt idx="12">
                    <c:v>Neural Network</c:v>
                  </c:pt>
                  <c:pt idx="13">
                    <c:v>Neural Network</c:v>
                  </c:pt>
                  <c:pt idx="14">
                    <c:v>Neural Network</c:v>
                  </c:pt>
                  <c:pt idx="15">
                    <c:v>Kernel</c:v>
                  </c:pt>
                  <c:pt idx="16">
                    <c:v>Kernel</c:v>
                  </c:pt>
                  <c:pt idx="17">
                    <c:v>Tree</c:v>
                  </c:pt>
                  <c:pt idx="18">
                    <c:v>Logistic Regression</c:v>
                  </c:pt>
                  <c:pt idx="19">
                    <c:v>Efficient Logistic Regression</c:v>
                  </c:pt>
                  <c:pt idx="20">
                    <c:v>Efficient Linear SVM</c:v>
                  </c:pt>
                  <c:pt idx="21">
                    <c:v>Naive Bayes</c:v>
                  </c:pt>
                  <c:pt idx="22">
                    <c:v>Naive Bayes</c:v>
                  </c:pt>
                  <c:pt idx="23">
                    <c:v>SVM</c:v>
                  </c:pt>
                </c:lvl>
                <c:lvl>
                  <c:pt idx="0">
                    <c:v>2.1</c:v>
                  </c:pt>
                  <c:pt idx="1">
                    <c:v>2.1</c:v>
                  </c:pt>
                  <c:pt idx="2">
                    <c:v>2.11</c:v>
                  </c:pt>
                  <c:pt idx="3">
                    <c:v>2.12</c:v>
                  </c:pt>
                  <c:pt idx="4">
                    <c:v>2.13</c:v>
                  </c:pt>
                  <c:pt idx="5">
                    <c:v>2.14</c:v>
                  </c:pt>
                  <c:pt idx="6">
                    <c:v>2.15</c:v>
                  </c:pt>
                  <c:pt idx="7">
                    <c:v>2.16</c:v>
                  </c:pt>
                  <c:pt idx="8">
                    <c:v>2.17</c:v>
                  </c:pt>
                  <c:pt idx="9">
                    <c:v>2.18</c:v>
                  </c:pt>
                  <c:pt idx="10">
                    <c:v>2.19</c:v>
                  </c:pt>
                  <c:pt idx="11">
                    <c:v>2.2</c:v>
                  </c:pt>
                  <c:pt idx="12">
                    <c:v>2.2</c:v>
                  </c:pt>
                  <c:pt idx="13">
                    <c:v>2.21</c:v>
                  </c:pt>
                  <c:pt idx="14">
                    <c:v>2.22</c:v>
                  </c:pt>
                  <c:pt idx="15">
                    <c:v>2.23</c:v>
                  </c:pt>
                  <c:pt idx="16">
                    <c:v>2.24</c:v>
                  </c:pt>
                  <c:pt idx="17">
                    <c:v>2.3</c:v>
                  </c:pt>
                  <c:pt idx="18">
                    <c:v>2.4</c:v>
                  </c:pt>
                  <c:pt idx="19">
                    <c:v>2.5</c:v>
                  </c:pt>
                  <c:pt idx="20">
                    <c:v>2.6</c:v>
                  </c:pt>
                  <c:pt idx="21">
                    <c:v>2.7</c:v>
                  </c:pt>
                  <c:pt idx="22">
                    <c:v>2.8</c:v>
                  </c:pt>
                  <c:pt idx="23">
                    <c:v>2.9</c:v>
                  </c:pt>
                </c:lvl>
              </c:multiLvlStrCache>
            </c:multiLvlStrRef>
          </c:cat>
          <c:val>
            <c:numRef>
              <c:f>'Preliminary Analysis'!$BY$3:$BY$26</c:f>
              <c:numCache>
                <c:formatCode>0.0</c:formatCode>
                <c:ptCount val="24"/>
                <c:pt idx="0">
                  <c:v>4.666666666666667</c:v>
                </c:pt>
                <c:pt idx="1">
                  <c:v>15.666666666666666</c:v>
                </c:pt>
                <c:pt idx="2">
                  <c:v>19.666666666666668</c:v>
                </c:pt>
                <c:pt idx="3">
                  <c:v>1.3333333333333333</c:v>
                </c:pt>
                <c:pt idx="4">
                  <c:v>22.666666666666668</c:v>
                </c:pt>
                <c:pt idx="5">
                  <c:v>18.666666666666668</c:v>
                </c:pt>
                <c:pt idx="6">
                  <c:v>21</c:v>
                </c:pt>
                <c:pt idx="7">
                  <c:v>20</c:v>
                </c:pt>
                <c:pt idx="8">
                  <c:v>15</c:v>
                </c:pt>
                <c:pt idx="9">
                  <c:v>3</c:v>
                </c:pt>
                <c:pt idx="10">
                  <c:v>5.333333333333333</c:v>
                </c:pt>
                <c:pt idx="11">
                  <c:v>23</c:v>
                </c:pt>
                <c:pt idx="12">
                  <c:v>3</c:v>
                </c:pt>
                <c:pt idx="13">
                  <c:v>2.6666666666666665</c:v>
                </c:pt>
                <c:pt idx="14">
                  <c:v>2.3333333333333335</c:v>
                </c:pt>
                <c:pt idx="15">
                  <c:v>22</c:v>
                </c:pt>
                <c:pt idx="16">
                  <c:v>9</c:v>
                </c:pt>
                <c:pt idx="17">
                  <c:v>23.666666666666668</c:v>
                </c:pt>
                <c:pt idx="18">
                  <c:v>18</c:v>
                </c:pt>
                <c:pt idx="19">
                  <c:v>12</c:v>
                </c:pt>
                <c:pt idx="20">
                  <c:v>14</c:v>
                </c:pt>
                <c:pt idx="21">
                  <c:v>9.6666666666666661</c:v>
                </c:pt>
                <c:pt idx="22">
                  <c:v>13.666666666666666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AE-E249-9A15-696E86DE926C}"/>
            </c:ext>
          </c:extLst>
        </c:ser>
        <c:ser>
          <c:idx val="3"/>
          <c:order val="3"/>
          <c:tx>
            <c:strRef>
              <c:f>'Preliminary Analysis'!$BZ$2</c:f>
              <c:strCache>
                <c:ptCount val="1"/>
                <c:pt idx="0">
                  <c:v>Macro Precision Rank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'Preliminary Analysis'!$BU$3:$BV$26</c:f>
              <c:multiLvlStrCache>
                <c:ptCount val="24"/>
                <c:lvl>
                  <c:pt idx="0">
                    <c:v>Tree</c:v>
                  </c:pt>
                  <c:pt idx="1">
                    <c:v>SVM</c:v>
                  </c:pt>
                  <c:pt idx="2">
                    <c:v>SVM</c:v>
                  </c:pt>
                  <c:pt idx="3">
                    <c:v>SVM</c:v>
                  </c:pt>
                  <c:pt idx="4">
                    <c:v>SVM</c:v>
                  </c:pt>
                  <c:pt idx="5">
                    <c:v>SVM</c:v>
                  </c:pt>
                  <c:pt idx="6">
                    <c:v>Ensemble</c:v>
                  </c:pt>
                  <c:pt idx="7">
                    <c:v>Ensemble</c:v>
                  </c:pt>
                  <c:pt idx="8">
                    <c:v>Ensemble</c:v>
                  </c:pt>
                  <c:pt idx="9">
                    <c:v>Neural Network</c:v>
                  </c:pt>
                  <c:pt idx="10">
                    <c:v>Neural Network</c:v>
                  </c:pt>
                  <c:pt idx="11">
                    <c:v>Tree</c:v>
                  </c:pt>
                  <c:pt idx="12">
                    <c:v>Neural Network</c:v>
                  </c:pt>
                  <c:pt idx="13">
                    <c:v>Neural Network</c:v>
                  </c:pt>
                  <c:pt idx="14">
                    <c:v>Neural Network</c:v>
                  </c:pt>
                  <c:pt idx="15">
                    <c:v>Kernel</c:v>
                  </c:pt>
                  <c:pt idx="16">
                    <c:v>Kernel</c:v>
                  </c:pt>
                  <c:pt idx="17">
                    <c:v>Tree</c:v>
                  </c:pt>
                  <c:pt idx="18">
                    <c:v>Logistic Regression</c:v>
                  </c:pt>
                  <c:pt idx="19">
                    <c:v>Efficient Logistic Regression</c:v>
                  </c:pt>
                  <c:pt idx="20">
                    <c:v>Efficient Linear SVM</c:v>
                  </c:pt>
                  <c:pt idx="21">
                    <c:v>Naive Bayes</c:v>
                  </c:pt>
                  <c:pt idx="22">
                    <c:v>Naive Bayes</c:v>
                  </c:pt>
                  <c:pt idx="23">
                    <c:v>SVM</c:v>
                  </c:pt>
                </c:lvl>
                <c:lvl>
                  <c:pt idx="0">
                    <c:v>2.1</c:v>
                  </c:pt>
                  <c:pt idx="1">
                    <c:v>2.1</c:v>
                  </c:pt>
                  <c:pt idx="2">
                    <c:v>2.11</c:v>
                  </c:pt>
                  <c:pt idx="3">
                    <c:v>2.12</c:v>
                  </c:pt>
                  <c:pt idx="4">
                    <c:v>2.13</c:v>
                  </c:pt>
                  <c:pt idx="5">
                    <c:v>2.14</c:v>
                  </c:pt>
                  <c:pt idx="6">
                    <c:v>2.15</c:v>
                  </c:pt>
                  <c:pt idx="7">
                    <c:v>2.16</c:v>
                  </c:pt>
                  <c:pt idx="8">
                    <c:v>2.17</c:v>
                  </c:pt>
                  <c:pt idx="9">
                    <c:v>2.18</c:v>
                  </c:pt>
                  <c:pt idx="10">
                    <c:v>2.19</c:v>
                  </c:pt>
                  <c:pt idx="11">
                    <c:v>2.2</c:v>
                  </c:pt>
                  <c:pt idx="12">
                    <c:v>2.2</c:v>
                  </c:pt>
                  <c:pt idx="13">
                    <c:v>2.21</c:v>
                  </c:pt>
                  <c:pt idx="14">
                    <c:v>2.22</c:v>
                  </c:pt>
                  <c:pt idx="15">
                    <c:v>2.23</c:v>
                  </c:pt>
                  <c:pt idx="16">
                    <c:v>2.24</c:v>
                  </c:pt>
                  <c:pt idx="17">
                    <c:v>2.3</c:v>
                  </c:pt>
                  <c:pt idx="18">
                    <c:v>2.4</c:v>
                  </c:pt>
                  <c:pt idx="19">
                    <c:v>2.5</c:v>
                  </c:pt>
                  <c:pt idx="20">
                    <c:v>2.6</c:v>
                  </c:pt>
                  <c:pt idx="21">
                    <c:v>2.7</c:v>
                  </c:pt>
                  <c:pt idx="22">
                    <c:v>2.8</c:v>
                  </c:pt>
                  <c:pt idx="23">
                    <c:v>2.9</c:v>
                  </c:pt>
                </c:lvl>
              </c:multiLvlStrCache>
            </c:multiLvlStrRef>
          </c:cat>
          <c:val>
            <c:numRef>
              <c:f>'Preliminary Analysis'!$BZ$3:$BZ$26</c:f>
              <c:numCache>
                <c:formatCode>0.0</c:formatCode>
                <c:ptCount val="24"/>
                <c:pt idx="0">
                  <c:v>12</c:v>
                </c:pt>
                <c:pt idx="1">
                  <c:v>5.666666666666667</c:v>
                </c:pt>
                <c:pt idx="2">
                  <c:v>14.333333333333334</c:v>
                </c:pt>
                <c:pt idx="3">
                  <c:v>4.5</c:v>
                </c:pt>
                <c:pt idx="4">
                  <c:v>17</c:v>
                </c:pt>
                <c:pt idx="5">
                  <c:v>12</c:v>
                </c:pt>
                <c:pt idx="6">
                  <c:v>7.666666666666667</c:v>
                </c:pt>
                <c:pt idx="7">
                  <c:v>3.6666666666666665</c:v>
                </c:pt>
                <c:pt idx="8">
                  <c:v>17.333333333333332</c:v>
                </c:pt>
                <c:pt idx="9">
                  <c:v>4</c:v>
                </c:pt>
                <c:pt idx="10">
                  <c:v>9</c:v>
                </c:pt>
                <c:pt idx="11">
                  <c:v>11</c:v>
                </c:pt>
                <c:pt idx="12">
                  <c:v>15.333333333333334</c:v>
                </c:pt>
                <c:pt idx="13">
                  <c:v>13</c:v>
                </c:pt>
                <c:pt idx="14">
                  <c:v>17</c:v>
                </c:pt>
                <c:pt idx="15">
                  <c:v>11.666666666666666</c:v>
                </c:pt>
                <c:pt idx="16">
                  <c:v>11.666666666666666</c:v>
                </c:pt>
                <c:pt idx="17">
                  <c:v>15</c:v>
                </c:pt>
                <c:pt idx="18">
                  <c:v>10.666666666666666</c:v>
                </c:pt>
                <c:pt idx="19">
                  <c:v>3.5</c:v>
                </c:pt>
                <c:pt idx="20">
                  <c:v>11</c:v>
                </c:pt>
                <c:pt idx="21">
                  <c:v>8</c:v>
                </c:pt>
                <c:pt idx="22">
                  <c:v>10.333333333333334</c:v>
                </c:pt>
                <c:pt idx="23">
                  <c:v>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AE-E249-9A15-696E86DE926C}"/>
            </c:ext>
          </c:extLst>
        </c:ser>
        <c:ser>
          <c:idx val="4"/>
          <c:order val="4"/>
          <c:tx>
            <c:strRef>
              <c:f>'Preliminary Analysis'!$CA$2</c:f>
              <c:strCache>
                <c:ptCount val="1"/>
                <c:pt idx="0">
                  <c:v>Macro Recall Z Score Rank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'Preliminary Analysis'!$BU$3:$BV$26</c:f>
              <c:multiLvlStrCache>
                <c:ptCount val="24"/>
                <c:lvl>
                  <c:pt idx="0">
                    <c:v>Tree</c:v>
                  </c:pt>
                  <c:pt idx="1">
                    <c:v>SVM</c:v>
                  </c:pt>
                  <c:pt idx="2">
                    <c:v>SVM</c:v>
                  </c:pt>
                  <c:pt idx="3">
                    <c:v>SVM</c:v>
                  </c:pt>
                  <c:pt idx="4">
                    <c:v>SVM</c:v>
                  </c:pt>
                  <c:pt idx="5">
                    <c:v>SVM</c:v>
                  </c:pt>
                  <c:pt idx="6">
                    <c:v>Ensemble</c:v>
                  </c:pt>
                  <c:pt idx="7">
                    <c:v>Ensemble</c:v>
                  </c:pt>
                  <c:pt idx="8">
                    <c:v>Ensemble</c:v>
                  </c:pt>
                  <c:pt idx="9">
                    <c:v>Neural Network</c:v>
                  </c:pt>
                  <c:pt idx="10">
                    <c:v>Neural Network</c:v>
                  </c:pt>
                  <c:pt idx="11">
                    <c:v>Tree</c:v>
                  </c:pt>
                  <c:pt idx="12">
                    <c:v>Neural Network</c:v>
                  </c:pt>
                  <c:pt idx="13">
                    <c:v>Neural Network</c:v>
                  </c:pt>
                  <c:pt idx="14">
                    <c:v>Neural Network</c:v>
                  </c:pt>
                  <c:pt idx="15">
                    <c:v>Kernel</c:v>
                  </c:pt>
                  <c:pt idx="16">
                    <c:v>Kernel</c:v>
                  </c:pt>
                  <c:pt idx="17">
                    <c:v>Tree</c:v>
                  </c:pt>
                  <c:pt idx="18">
                    <c:v>Logistic Regression</c:v>
                  </c:pt>
                  <c:pt idx="19">
                    <c:v>Efficient Logistic Regression</c:v>
                  </c:pt>
                  <c:pt idx="20">
                    <c:v>Efficient Linear SVM</c:v>
                  </c:pt>
                  <c:pt idx="21">
                    <c:v>Naive Bayes</c:v>
                  </c:pt>
                  <c:pt idx="22">
                    <c:v>Naive Bayes</c:v>
                  </c:pt>
                  <c:pt idx="23">
                    <c:v>SVM</c:v>
                  </c:pt>
                </c:lvl>
                <c:lvl>
                  <c:pt idx="0">
                    <c:v>2.1</c:v>
                  </c:pt>
                  <c:pt idx="1">
                    <c:v>2.1</c:v>
                  </c:pt>
                  <c:pt idx="2">
                    <c:v>2.11</c:v>
                  </c:pt>
                  <c:pt idx="3">
                    <c:v>2.12</c:v>
                  </c:pt>
                  <c:pt idx="4">
                    <c:v>2.13</c:v>
                  </c:pt>
                  <c:pt idx="5">
                    <c:v>2.14</c:v>
                  </c:pt>
                  <c:pt idx="6">
                    <c:v>2.15</c:v>
                  </c:pt>
                  <c:pt idx="7">
                    <c:v>2.16</c:v>
                  </c:pt>
                  <c:pt idx="8">
                    <c:v>2.17</c:v>
                  </c:pt>
                  <c:pt idx="9">
                    <c:v>2.18</c:v>
                  </c:pt>
                  <c:pt idx="10">
                    <c:v>2.19</c:v>
                  </c:pt>
                  <c:pt idx="11">
                    <c:v>2.2</c:v>
                  </c:pt>
                  <c:pt idx="12">
                    <c:v>2.2</c:v>
                  </c:pt>
                  <c:pt idx="13">
                    <c:v>2.21</c:v>
                  </c:pt>
                  <c:pt idx="14">
                    <c:v>2.22</c:v>
                  </c:pt>
                  <c:pt idx="15">
                    <c:v>2.23</c:v>
                  </c:pt>
                  <c:pt idx="16">
                    <c:v>2.24</c:v>
                  </c:pt>
                  <c:pt idx="17">
                    <c:v>2.3</c:v>
                  </c:pt>
                  <c:pt idx="18">
                    <c:v>2.4</c:v>
                  </c:pt>
                  <c:pt idx="19">
                    <c:v>2.5</c:v>
                  </c:pt>
                  <c:pt idx="20">
                    <c:v>2.6</c:v>
                  </c:pt>
                  <c:pt idx="21">
                    <c:v>2.7</c:v>
                  </c:pt>
                  <c:pt idx="22">
                    <c:v>2.8</c:v>
                  </c:pt>
                  <c:pt idx="23">
                    <c:v>2.9</c:v>
                  </c:pt>
                </c:lvl>
              </c:multiLvlStrCache>
            </c:multiLvlStrRef>
          </c:cat>
          <c:val>
            <c:numRef>
              <c:f>'Preliminary Analysis'!$CA$3:$CA$26</c:f>
              <c:numCache>
                <c:formatCode>0.0</c:formatCode>
                <c:ptCount val="24"/>
                <c:pt idx="0">
                  <c:v>5.666666666666667</c:v>
                </c:pt>
                <c:pt idx="1">
                  <c:v>10.666666666666666</c:v>
                </c:pt>
                <c:pt idx="2">
                  <c:v>6</c:v>
                </c:pt>
                <c:pt idx="3">
                  <c:v>7.333333333333333</c:v>
                </c:pt>
                <c:pt idx="4">
                  <c:v>6</c:v>
                </c:pt>
                <c:pt idx="5">
                  <c:v>8</c:v>
                </c:pt>
                <c:pt idx="6">
                  <c:v>8.3333333333333339</c:v>
                </c:pt>
                <c:pt idx="7">
                  <c:v>17</c:v>
                </c:pt>
                <c:pt idx="8">
                  <c:v>14.666666666666666</c:v>
                </c:pt>
                <c:pt idx="9">
                  <c:v>17</c:v>
                </c:pt>
                <c:pt idx="10">
                  <c:v>12</c:v>
                </c:pt>
                <c:pt idx="11">
                  <c:v>14.333333333333334</c:v>
                </c:pt>
                <c:pt idx="12">
                  <c:v>16</c:v>
                </c:pt>
                <c:pt idx="13">
                  <c:v>20.666666666666668</c:v>
                </c:pt>
                <c:pt idx="14">
                  <c:v>4.666666666666667</c:v>
                </c:pt>
                <c:pt idx="15">
                  <c:v>4.333333333333333</c:v>
                </c:pt>
                <c:pt idx="16">
                  <c:v>21.666666666666668</c:v>
                </c:pt>
                <c:pt idx="17">
                  <c:v>10.666666666666666</c:v>
                </c:pt>
                <c:pt idx="18">
                  <c:v>20</c:v>
                </c:pt>
                <c:pt idx="19">
                  <c:v>17.666666666666668</c:v>
                </c:pt>
                <c:pt idx="20">
                  <c:v>17.666666666666668</c:v>
                </c:pt>
                <c:pt idx="21">
                  <c:v>9.3333333333333339</c:v>
                </c:pt>
                <c:pt idx="22">
                  <c:v>11</c:v>
                </c:pt>
                <c:pt idx="23">
                  <c:v>7.666666666666667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AE-E249-9A15-696E86DE926C}"/>
            </c:ext>
          </c:extLst>
        </c:ser>
        <c:ser>
          <c:idx val="5"/>
          <c:order val="5"/>
          <c:tx>
            <c:strRef>
              <c:f>'Preliminary Analysis'!$CB$2</c:f>
              <c:strCache>
                <c:ptCount val="1"/>
                <c:pt idx="0">
                  <c:v>Macro Precision Z Score Rank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'Preliminary Analysis'!$BU$3:$BV$26</c:f>
              <c:multiLvlStrCache>
                <c:ptCount val="24"/>
                <c:lvl>
                  <c:pt idx="0">
                    <c:v>Tree</c:v>
                  </c:pt>
                  <c:pt idx="1">
                    <c:v>SVM</c:v>
                  </c:pt>
                  <c:pt idx="2">
                    <c:v>SVM</c:v>
                  </c:pt>
                  <c:pt idx="3">
                    <c:v>SVM</c:v>
                  </c:pt>
                  <c:pt idx="4">
                    <c:v>SVM</c:v>
                  </c:pt>
                  <c:pt idx="5">
                    <c:v>SVM</c:v>
                  </c:pt>
                  <c:pt idx="6">
                    <c:v>Ensemble</c:v>
                  </c:pt>
                  <c:pt idx="7">
                    <c:v>Ensemble</c:v>
                  </c:pt>
                  <c:pt idx="8">
                    <c:v>Ensemble</c:v>
                  </c:pt>
                  <c:pt idx="9">
                    <c:v>Neural Network</c:v>
                  </c:pt>
                  <c:pt idx="10">
                    <c:v>Neural Network</c:v>
                  </c:pt>
                  <c:pt idx="11">
                    <c:v>Tree</c:v>
                  </c:pt>
                  <c:pt idx="12">
                    <c:v>Neural Network</c:v>
                  </c:pt>
                  <c:pt idx="13">
                    <c:v>Neural Network</c:v>
                  </c:pt>
                  <c:pt idx="14">
                    <c:v>Neural Network</c:v>
                  </c:pt>
                  <c:pt idx="15">
                    <c:v>Kernel</c:v>
                  </c:pt>
                  <c:pt idx="16">
                    <c:v>Kernel</c:v>
                  </c:pt>
                  <c:pt idx="17">
                    <c:v>Tree</c:v>
                  </c:pt>
                  <c:pt idx="18">
                    <c:v>Logistic Regression</c:v>
                  </c:pt>
                  <c:pt idx="19">
                    <c:v>Efficient Logistic Regression</c:v>
                  </c:pt>
                  <c:pt idx="20">
                    <c:v>Efficient Linear SVM</c:v>
                  </c:pt>
                  <c:pt idx="21">
                    <c:v>Naive Bayes</c:v>
                  </c:pt>
                  <c:pt idx="22">
                    <c:v>Naive Bayes</c:v>
                  </c:pt>
                  <c:pt idx="23">
                    <c:v>SVM</c:v>
                  </c:pt>
                </c:lvl>
                <c:lvl>
                  <c:pt idx="0">
                    <c:v>2.1</c:v>
                  </c:pt>
                  <c:pt idx="1">
                    <c:v>2.1</c:v>
                  </c:pt>
                  <c:pt idx="2">
                    <c:v>2.11</c:v>
                  </c:pt>
                  <c:pt idx="3">
                    <c:v>2.12</c:v>
                  </c:pt>
                  <c:pt idx="4">
                    <c:v>2.13</c:v>
                  </c:pt>
                  <c:pt idx="5">
                    <c:v>2.14</c:v>
                  </c:pt>
                  <c:pt idx="6">
                    <c:v>2.15</c:v>
                  </c:pt>
                  <c:pt idx="7">
                    <c:v>2.16</c:v>
                  </c:pt>
                  <c:pt idx="8">
                    <c:v>2.17</c:v>
                  </c:pt>
                  <c:pt idx="9">
                    <c:v>2.18</c:v>
                  </c:pt>
                  <c:pt idx="10">
                    <c:v>2.19</c:v>
                  </c:pt>
                  <c:pt idx="11">
                    <c:v>2.2</c:v>
                  </c:pt>
                  <c:pt idx="12">
                    <c:v>2.2</c:v>
                  </c:pt>
                  <c:pt idx="13">
                    <c:v>2.21</c:v>
                  </c:pt>
                  <c:pt idx="14">
                    <c:v>2.22</c:v>
                  </c:pt>
                  <c:pt idx="15">
                    <c:v>2.23</c:v>
                  </c:pt>
                  <c:pt idx="16">
                    <c:v>2.24</c:v>
                  </c:pt>
                  <c:pt idx="17">
                    <c:v>2.3</c:v>
                  </c:pt>
                  <c:pt idx="18">
                    <c:v>2.4</c:v>
                  </c:pt>
                  <c:pt idx="19">
                    <c:v>2.5</c:v>
                  </c:pt>
                  <c:pt idx="20">
                    <c:v>2.6</c:v>
                  </c:pt>
                  <c:pt idx="21">
                    <c:v>2.7</c:v>
                  </c:pt>
                  <c:pt idx="22">
                    <c:v>2.8</c:v>
                  </c:pt>
                  <c:pt idx="23">
                    <c:v>2.9</c:v>
                  </c:pt>
                </c:lvl>
              </c:multiLvlStrCache>
            </c:multiLvlStrRef>
          </c:cat>
          <c:val>
            <c:numRef>
              <c:f>'Preliminary Analysis'!$CB$3:$CB$26</c:f>
              <c:numCache>
                <c:formatCode>0.0</c:formatCode>
                <c:ptCount val="24"/>
                <c:pt idx="0">
                  <c:v>10.333333333333334</c:v>
                </c:pt>
                <c:pt idx="1">
                  <c:v>8.6666666666666661</c:v>
                </c:pt>
                <c:pt idx="2">
                  <c:v>14</c:v>
                </c:pt>
                <c:pt idx="3">
                  <c:v>13.333333333333334</c:v>
                </c:pt>
                <c:pt idx="4">
                  <c:v>16.333333333333332</c:v>
                </c:pt>
                <c:pt idx="5">
                  <c:v>17.333333333333332</c:v>
                </c:pt>
                <c:pt idx="6">
                  <c:v>8</c:v>
                </c:pt>
                <c:pt idx="7">
                  <c:v>3.3333333333333335</c:v>
                </c:pt>
                <c:pt idx="8">
                  <c:v>16</c:v>
                </c:pt>
                <c:pt idx="9">
                  <c:v>3.6666666666666665</c:v>
                </c:pt>
                <c:pt idx="10">
                  <c:v>10.333333333333334</c:v>
                </c:pt>
                <c:pt idx="11">
                  <c:v>10.333333333333334</c:v>
                </c:pt>
                <c:pt idx="12">
                  <c:v>14</c:v>
                </c:pt>
                <c:pt idx="13">
                  <c:v>11.666666666666666</c:v>
                </c:pt>
                <c:pt idx="14">
                  <c:v>15.333333333333334</c:v>
                </c:pt>
                <c:pt idx="15">
                  <c:v>12.333333333333334</c:v>
                </c:pt>
                <c:pt idx="16">
                  <c:v>10</c:v>
                </c:pt>
                <c:pt idx="17">
                  <c:v>13.666666666666666</c:v>
                </c:pt>
                <c:pt idx="18">
                  <c:v>9.3333333333333339</c:v>
                </c:pt>
                <c:pt idx="19">
                  <c:v>11.666666666666666</c:v>
                </c:pt>
                <c:pt idx="20">
                  <c:v>15.333333333333334</c:v>
                </c:pt>
                <c:pt idx="21">
                  <c:v>8.6666666666666661</c:v>
                </c:pt>
                <c:pt idx="22">
                  <c:v>12.666666666666666</c:v>
                </c:pt>
                <c:pt idx="2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AE-E249-9A15-696E86DE9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630943"/>
        <c:axId val="261783583"/>
      </c:barChart>
      <c:catAx>
        <c:axId val="26163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83583"/>
        <c:crosses val="autoZero"/>
        <c:auto val="1"/>
        <c:lblAlgn val="ctr"/>
        <c:lblOffset val="100"/>
        <c:noMultiLvlLbl val="0"/>
      </c:catAx>
      <c:valAx>
        <c:axId val="261783583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  <a:r>
                  <a:rPr lang="en-US" baseline="0"/>
                  <a:t> Ranks (1 is Best)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3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'Preliminary Analysis'!$C$82</c:f>
              <c:strCache>
                <c:ptCount val="1"/>
                <c:pt idx="0">
                  <c:v>Tree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3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3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3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Analysis'!$D$82:$F$82</c:f>
              <c:numCache>
                <c:formatCode>0.00</c:formatCode>
                <c:ptCount val="3"/>
                <c:pt idx="0">
                  <c:v>62.08</c:v>
                </c:pt>
                <c:pt idx="1">
                  <c:v>60.16</c:v>
                </c:pt>
                <c:pt idx="2">
                  <c:v>60.76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5-0D4B-B486-A3B699B4720D}"/>
            </c:ext>
          </c:extLst>
        </c:ser>
        <c:ser>
          <c:idx val="1"/>
          <c:order val="1"/>
          <c:tx>
            <c:strRef>
              <c:f>'Preliminary Analysis'!$C$83</c:f>
              <c:strCache>
                <c:ptCount val="1"/>
                <c:pt idx="0">
                  <c:v>SVM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41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41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4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Analysis'!$D$83:$F$83</c:f>
              <c:numCache>
                <c:formatCode>0.00</c:formatCode>
                <c:ptCount val="3"/>
                <c:pt idx="0">
                  <c:v>57.83</c:v>
                </c:pt>
                <c:pt idx="1">
                  <c:v>58.34</c:v>
                </c:pt>
                <c:pt idx="2">
                  <c:v>54.8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E5-0D4B-B486-A3B699B4720D}"/>
            </c:ext>
          </c:extLst>
        </c:ser>
        <c:ser>
          <c:idx val="2"/>
          <c:order val="2"/>
          <c:tx>
            <c:strRef>
              <c:f>'Preliminary Analysis'!$C$84</c:f>
              <c:strCache>
                <c:ptCount val="1"/>
                <c:pt idx="0">
                  <c:v>SVM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4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4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4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Analysis'!$D$84:$F$84</c:f>
              <c:numCache>
                <c:formatCode>0.00</c:formatCode>
                <c:ptCount val="3"/>
                <c:pt idx="0">
                  <c:v>57.45</c:v>
                </c:pt>
                <c:pt idx="1">
                  <c:v>59.62</c:v>
                </c:pt>
                <c:pt idx="2">
                  <c:v>61.83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E5-0D4B-B486-A3B699B4720D}"/>
            </c:ext>
          </c:extLst>
        </c:ser>
        <c:ser>
          <c:idx val="3"/>
          <c:order val="3"/>
          <c:tx>
            <c:strRef>
              <c:f>'Preliminary Analysis'!$C$85</c:f>
              <c:strCache>
                <c:ptCount val="1"/>
                <c:pt idx="0">
                  <c:v>SVM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2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52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5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Analysis'!$D$85:$F$85</c:f>
              <c:numCache>
                <c:formatCode>0.00</c:formatCode>
                <c:ptCount val="3"/>
                <c:pt idx="0">
                  <c:v>57.85</c:v>
                </c:pt>
                <c:pt idx="1">
                  <c:v>55.69</c:v>
                </c:pt>
                <c:pt idx="2">
                  <c:v>75.040000000000006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E5-0D4B-B486-A3B699B4720D}"/>
            </c:ext>
          </c:extLst>
        </c:ser>
        <c:ser>
          <c:idx val="4"/>
          <c:order val="4"/>
          <c:tx>
            <c:strRef>
              <c:f>'Preliminary Analysis'!$C$86</c:f>
              <c:strCache>
                <c:ptCount val="1"/>
                <c:pt idx="0">
                  <c:v>SVM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Analysis'!$D$86:$F$86</c:f>
              <c:numCache>
                <c:formatCode>0.00</c:formatCode>
                <c:ptCount val="3"/>
                <c:pt idx="0">
                  <c:v>58.58</c:v>
                </c:pt>
                <c:pt idx="1">
                  <c:v>59.71</c:v>
                </c:pt>
                <c:pt idx="2">
                  <c:v>60.64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E5-0D4B-B486-A3B699B4720D}"/>
            </c:ext>
          </c:extLst>
        </c:ser>
        <c:ser>
          <c:idx val="5"/>
          <c:order val="5"/>
          <c:tx>
            <c:strRef>
              <c:f>'Preliminary Analysis'!$C$87</c:f>
              <c:strCache>
                <c:ptCount val="1"/>
                <c:pt idx="0">
                  <c:v>SVM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3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3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Analysis'!$D$87:$F$87</c:f>
              <c:numCache>
                <c:formatCode>0.00</c:formatCode>
                <c:ptCount val="3"/>
                <c:pt idx="0">
                  <c:v>57</c:v>
                </c:pt>
                <c:pt idx="1">
                  <c:v>59.15</c:v>
                </c:pt>
                <c:pt idx="2">
                  <c:v>60.88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E5-0D4B-B486-A3B699B4720D}"/>
            </c:ext>
          </c:extLst>
        </c:ser>
        <c:ser>
          <c:idx val="6"/>
          <c:order val="6"/>
          <c:tx>
            <c:strRef>
              <c:f>'Preliminary Analysis'!$C$88</c:f>
              <c:strCache>
                <c:ptCount val="1"/>
                <c:pt idx="0">
                  <c:v>Ensemble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9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9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Analysis'!$D$88:$F$88</c:f>
              <c:numCache>
                <c:formatCode>0.00</c:formatCode>
                <c:ptCount val="3"/>
                <c:pt idx="0">
                  <c:v>59.12</c:v>
                </c:pt>
                <c:pt idx="1">
                  <c:v>58.06</c:v>
                </c:pt>
                <c:pt idx="2">
                  <c:v>58.18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E5-0D4B-B486-A3B699B4720D}"/>
            </c:ext>
          </c:extLst>
        </c:ser>
        <c:ser>
          <c:idx val="7"/>
          <c:order val="7"/>
          <c:tx>
            <c:strRef>
              <c:f>'Preliminary Analysis'!$C$89</c:f>
              <c:strCache>
                <c:ptCount val="1"/>
                <c:pt idx="0">
                  <c:v>Ensemble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74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4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Analysis'!$D$89:$F$89</c:f>
              <c:numCache>
                <c:formatCode>0.00</c:formatCode>
                <c:ptCount val="3"/>
                <c:pt idx="0">
                  <c:v>50</c:v>
                </c:pt>
                <c:pt idx="1">
                  <c:v>50.18</c:v>
                </c:pt>
                <c:pt idx="2">
                  <c:v>60.63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E5-0D4B-B486-A3B699B4720D}"/>
            </c:ext>
          </c:extLst>
        </c:ser>
        <c:ser>
          <c:idx val="8"/>
          <c:order val="8"/>
          <c:tx>
            <c:strRef>
              <c:f>'Preliminary Analysis'!$C$90</c:f>
              <c:strCache>
                <c:ptCount val="1"/>
                <c:pt idx="0">
                  <c:v>Ensemble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Analysis'!$D$90:$F$90</c:f>
              <c:numCache>
                <c:formatCode>0.00</c:formatCode>
                <c:ptCount val="3"/>
                <c:pt idx="0">
                  <c:v>51.18</c:v>
                </c:pt>
                <c:pt idx="1">
                  <c:v>53.78</c:v>
                </c:pt>
                <c:pt idx="2">
                  <c:v>60.27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E5-0D4B-B486-A3B699B4720D}"/>
            </c:ext>
          </c:extLst>
        </c:ser>
        <c:ser>
          <c:idx val="9"/>
          <c:order val="9"/>
          <c:tx>
            <c:strRef>
              <c:f>'Preliminary Analysis'!$C$91</c:f>
              <c:strCache>
                <c:ptCount val="1"/>
                <c:pt idx="0">
                  <c:v>Neural Network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Analysis'!$D$91:$F$91</c:f>
              <c:numCache>
                <c:formatCode>0.00</c:formatCode>
                <c:ptCount val="3"/>
                <c:pt idx="0">
                  <c:v>50.53</c:v>
                </c:pt>
                <c:pt idx="1">
                  <c:v>51.23</c:v>
                </c:pt>
                <c:pt idx="2">
                  <c:v>59.69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E5-0D4B-B486-A3B699B4720D}"/>
            </c:ext>
          </c:extLst>
        </c:ser>
        <c:ser>
          <c:idx val="10"/>
          <c:order val="10"/>
          <c:tx>
            <c:strRef>
              <c:f>'Preliminary Analysis'!$C$92</c:f>
              <c:strCache>
                <c:ptCount val="1"/>
                <c:pt idx="0">
                  <c:v>Neural Network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91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91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9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Analysis'!$D$92:$F$92</c:f>
              <c:numCache>
                <c:formatCode>0.00</c:formatCode>
                <c:ptCount val="3"/>
                <c:pt idx="0">
                  <c:v>55.98</c:v>
                </c:pt>
                <c:pt idx="1">
                  <c:v>59.98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E5-0D4B-B486-A3B699B4720D}"/>
            </c:ext>
          </c:extLst>
        </c:ser>
        <c:ser>
          <c:idx val="11"/>
          <c:order val="11"/>
          <c:tx>
            <c:strRef>
              <c:f>'Preliminary Analysis'!$C$93</c:f>
              <c:strCache>
                <c:ptCount val="1"/>
                <c:pt idx="0">
                  <c:v>Tree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9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9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9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Analysis'!$D$93:$F$93</c:f>
              <c:numCache>
                <c:formatCode>0.00</c:formatCode>
                <c:ptCount val="3"/>
                <c:pt idx="0">
                  <c:v>50</c:v>
                </c:pt>
                <c:pt idx="1">
                  <c:v>83.43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FE5-0D4B-B486-A3B699B4720D}"/>
            </c:ext>
          </c:extLst>
        </c:ser>
        <c:ser>
          <c:idx val="12"/>
          <c:order val="12"/>
          <c:tx>
            <c:strRef>
              <c:f>'Preliminary Analysis'!$C$94</c:f>
              <c:strCache>
                <c:ptCount val="1"/>
                <c:pt idx="0">
                  <c:v>Neural Network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8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98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9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Analysis'!$D$94:$F$94</c:f>
              <c:numCache>
                <c:formatCode>0.00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62.03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FE5-0D4B-B486-A3B699B4720D}"/>
            </c:ext>
          </c:extLst>
        </c:ser>
        <c:ser>
          <c:idx val="13"/>
          <c:order val="13"/>
          <c:tx>
            <c:strRef>
              <c:f>'Preliminary Analysis'!$C$95</c:f>
              <c:strCache>
                <c:ptCount val="1"/>
                <c:pt idx="0">
                  <c:v>Neural Network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2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92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9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Analysis'!$D$95:$F$95</c:f>
              <c:numCache>
                <c:formatCode>0.00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FE5-0D4B-B486-A3B699B4720D}"/>
            </c:ext>
          </c:extLst>
        </c:ser>
        <c:ser>
          <c:idx val="14"/>
          <c:order val="14"/>
          <c:tx>
            <c:strRef>
              <c:f>'Preliminary Analysis'!$C$96</c:f>
              <c:strCache>
                <c:ptCount val="1"/>
                <c:pt idx="0">
                  <c:v>Neural Network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Analysis'!$D$96:$F$96</c:f>
              <c:numCache>
                <c:formatCode>0.00</c:formatCode>
                <c:ptCount val="3"/>
                <c:pt idx="0">
                  <c:v>60.4</c:v>
                </c:pt>
                <c:pt idx="1">
                  <c:v>62.37</c:v>
                </c:pt>
                <c:pt idx="2">
                  <c:v>59.92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FE5-0D4B-B486-A3B699B4720D}"/>
            </c:ext>
          </c:extLst>
        </c:ser>
        <c:ser>
          <c:idx val="15"/>
          <c:order val="15"/>
          <c:tx>
            <c:strRef>
              <c:f>'Preliminary Analysis'!$C$97</c:f>
              <c:strCache>
                <c:ptCount val="1"/>
                <c:pt idx="0">
                  <c:v>Kernel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81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81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8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Analysis'!$D$97:$F$97</c:f>
              <c:numCache>
                <c:formatCode>0.00</c:formatCode>
                <c:ptCount val="3"/>
                <c:pt idx="0">
                  <c:v>58.72</c:v>
                </c:pt>
                <c:pt idx="1">
                  <c:v>60</c:v>
                </c:pt>
                <c:pt idx="2">
                  <c:v>60.76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FE5-0D4B-B486-A3B699B4720D}"/>
            </c:ext>
          </c:extLst>
        </c:ser>
        <c:ser>
          <c:idx val="16"/>
          <c:order val="16"/>
          <c:tx>
            <c:strRef>
              <c:f>'Preliminary Analysis'!$C$98</c:f>
              <c:strCache>
                <c:ptCount val="1"/>
                <c:pt idx="0">
                  <c:v>Kernel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Analysis'!$D$98:$F$98</c:f>
              <c:numCache>
                <c:formatCode>0.00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FE5-0D4B-B486-A3B699B4720D}"/>
            </c:ext>
          </c:extLst>
        </c:ser>
        <c:ser>
          <c:idx val="17"/>
          <c:order val="17"/>
          <c:tx>
            <c:strRef>
              <c:f>'Preliminary Analysis'!$C$99</c:f>
              <c:strCache>
                <c:ptCount val="1"/>
                <c:pt idx="0">
                  <c:v>Tree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Analysis'!$D$99:$F$99</c:f>
              <c:numCache>
                <c:formatCode>0.00</c:formatCode>
                <c:ptCount val="3"/>
                <c:pt idx="0">
                  <c:v>52.5</c:v>
                </c:pt>
                <c:pt idx="1">
                  <c:v>81.319999999999993</c:v>
                </c:pt>
                <c:pt idx="2">
                  <c:v>56.79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FE5-0D4B-B486-A3B699B4720D}"/>
            </c:ext>
          </c:extLst>
        </c:ser>
        <c:ser>
          <c:idx val="18"/>
          <c:order val="18"/>
          <c:tx>
            <c:strRef>
              <c:f>'Preliminary Analysis'!$C$100</c:f>
              <c:strCache>
                <c:ptCount val="1"/>
                <c:pt idx="0">
                  <c:v>Binary GLM Logistic Regression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4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4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Analysis'!$D$100:$F$100</c:f>
              <c:numCache>
                <c:formatCode>0.00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FE5-0D4B-B486-A3B699B4720D}"/>
            </c:ext>
          </c:extLst>
        </c:ser>
        <c:ser>
          <c:idx val="19"/>
          <c:order val="19"/>
          <c:tx>
            <c:strRef>
              <c:f>'Preliminary Analysis'!$C$101</c:f>
              <c:strCache>
                <c:ptCount val="1"/>
                <c:pt idx="0">
                  <c:v>Efficient Logistic Regression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Analysis'!$D$101:$F$101</c:f>
              <c:numCache>
                <c:formatCode>0.00</c:formatCode>
                <c:ptCount val="3"/>
                <c:pt idx="0">
                  <c:v>51.35</c:v>
                </c:pt>
                <c:pt idx="1">
                  <c:v>52.57</c:v>
                </c:pt>
                <c:pt idx="2">
                  <c:v>51.42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FE5-0D4B-B486-A3B699B4720D}"/>
            </c:ext>
          </c:extLst>
        </c:ser>
        <c:ser>
          <c:idx val="20"/>
          <c:order val="20"/>
          <c:tx>
            <c:strRef>
              <c:f>'Preliminary Analysis'!$C$102</c:f>
              <c:strCache>
                <c:ptCount val="1"/>
                <c:pt idx="0">
                  <c:v>Efficient Linear SVM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Analysis'!$D$102:$F$102</c:f>
              <c:numCache>
                <c:formatCode>0.00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60.53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FE5-0D4B-B486-A3B699B4720D}"/>
            </c:ext>
          </c:extLst>
        </c:ser>
        <c:ser>
          <c:idx val="21"/>
          <c:order val="21"/>
          <c:tx>
            <c:strRef>
              <c:f>'Preliminary Analysis'!$C$103</c:f>
              <c:strCache>
                <c:ptCount val="1"/>
                <c:pt idx="0">
                  <c:v>Naive Bayes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4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4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4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Analysis'!$D$103:$F$103</c:f>
              <c:numCache>
                <c:formatCode>0.00</c:formatCode>
                <c:ptCount val="3"/>
                <c:pt idx="0">
                  <c:v>59.15</c:v>
                </c:pt>
                <c:pt idx="1">
                  <c:v>60.08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FE5-0D4B-B486-A3B699B4720D}"/>
            </c:ext>
          </c:extLst>
        </c:ser>
        <c:ser>
          <c:idx val="22"/>
          <c:order val="22"/>
          <c:tx>
            <c:strRef>
              <c:f>'Preliminary Analysis'!$C$104</c:f>
              <c:strCache>
                <c:ptCount val="1"/>
                <c:pt idx="0">
                  <c:v>Naive Bayes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42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42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4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Analysis'!$D$104:$F$104</c:f>
              <c:numCache>
                <c:formatCode>0.00</c:formatCode>
                <c:ptCount val="3"/>
                <c:pt idx="0">
                  <c:v>59.59</c:v>
                </c:pt>
                <c:pt idx="1">
                  <c:v>58.9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FE5-0D4B-B486-A3B699B4720D}"/>
            </c:ext>
          </c:extLst>
        </c:ser>
        <c:ser>
          <c:idx val="23"/>
          <c:order val="23"/>
          <c:tx>
            <c:strRef>
              <c:f>'Preliminary Analysis'!$C$105</c:f>
              <c:strCache>
                <c:ptCount val="1"/>
                <c:pt idx="0">
                  <c:v>SVM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3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3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3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'Preliminary Analysis'!$D$81:$F$81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Analysis'!$D$105:$F$105</c:f>
              <c:numCache>
                <c:formatCode>0.00</c:formatCode>
                <c:ptCount val="3"/>
                <c:pt idx="0">
                  <c:v>70.72</c:v>
                </c:pt>
                <c:pt idx="1">
                  <c:v>76.3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FE5-0D4B-B486-A3B699B47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815987887"/>
        <c:axId val="815959551"/>
      </c:barChart>
      <c:catAx>
        <c:axId val="81598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959551"/>
        <c:crosses val="autoZero"/>
        <c:auto val="1"/>
        <c:lblAlgn val="ctr"/>
        <c:lblOffset val="100"/>
        <c:noMultiLvlLbl val="0"/>
      </c:catAx>
      <c:valAx>
        <c:axId val="815959551"/>
        <c:scaling>
          <c:orientation val="minMax"/>
          <c:min val="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98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Macro Recall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'Preliminary Analysis'!$I$106</c:f>
              <c:strCache>
                <c:ptCount val="1"/>
                <c:pt idx="0">
                  <c:v>Tree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'Preliminary Analysis'!$J$105:$L$105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Analysis'!$J$106:$L$106</c:f>
              <c:numCache>
                <c:formatCode>General</c:formatCode>
                <c:ptCount val="3"/>
                <c:pt idx="0">
                  <c:v>54.86</c:v>
                </c:pt>
                <c:pt idx="1">
                  <c:v>74.97</c:v>
                </c:pt>
                <c:pt idx="2">
                  <c:v>55.85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F-0148-8047-A7E38641B8FC}"/>
            </c:ext>
          </c:extLst>
        </c:ser>
        <c:ser>
          <c:idx val="1"/>
          <c:order val="1"/>
          <c:tx>
            <c:strRef>
              <c:f>'Preliminary Analysis'!$I$107</c:f>
              <c:strCache>
                <c:ptCount val="1"/>
                <c:pt idx="0">
                  <c:v>SVM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'Preliminary Analysis'!$J$105:$L$105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Analysis'!$J$107:$L$107</c:f>
              <c:numCache>
                <c:formatCode>General</c:formatCode>
                <c:ptCount val="3"/>
                <c:pt idx="0">
                  <c:v>59.91</c:v>
                </c:pt>
                <c:pt idx="1">
                  <c:v>61.47</c:v>
                </c:pt>
                <c:pt idx="2">
                  <c:v>60.53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F-0148-8047-A7E38641B8FC}"/>
            </c:ext>
          </c:extLst>
        </c:ser>
        <c:ser>
          <c:idx val="2"/>
          <c:order val="2"/>
          <c:tx>
            <c:strRef>
              <c:f>'Preliminary Analysis'!$I$108</c:f>
              <c:strCache>
                <c:ptCount val="1"/>
                <c:pt idx="0">
                  <c:v>Ensemble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'Preliminary Analysis'!$J$105:$L$105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Analysis'!$J$108:$L$108</c:f>
              <c:numCache>
                <c:formatCode>General</c:formatCode>
                <c:ptCount val="3"/>
                <c:pt idx="0">
                  <c:v>53.43</c:v>
                </c:pt>
                <c:pt idx="1">
                  <c:v>54.01</c:v>
                </c:pt>
                <c:pt idx="2">
                  <c:v>59.69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8F-0148-8047-A7E38641B8FC}"/>
            </c:ext>
          </c:extLst>
        </c:ser>
        <c:ser>
          <c:idx val="3"/>
          <c:order val="3"/>
          <c:tx>
            <c:strRef>
              <c:f>'Preliminary Analysis'!$I$109</c:f>
              <c:strCache>
                <c:ptCount val="1"/>
                <c:pt idx="0">
                  <c:v>Neural Network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'Preliminary Analysis'!$J$105:$L$105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Analysis'!$J$109:$L$109</c:f>
              <c:numCache>
                <c:formatCode>General</c:formatCode>
                <c:ptCount val="3"/>
                <c:pt idx="0">
                  <c:v>53.38</c:v>
                </c:pt>
                <c:pt idx="1">
                  <c:v>54.72</c:v>
                </c:pt>
                <c:pt idx="2">
                  <c:v>57.01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8F-0148-8047-A7E38641B8FC}"/>
            </c:ext>
          </c:extLst>
        </c:ser>
        <c:ser>
          <c:idx val="4"/>
          <c:order val="4"/>
          <c:tx>
            <c:strRef>
              <c:f>'Preliminary Analysis'!$I$110</c:f>
              <c:strCache>
                <c:ptCount val="1"/>
                <c:pt idx="0">
                  <c:v>Kernel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'Preliminary Analysis'!$J$105:$L$105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Analysis'!$J$110:$L$110</c:f>
              <c:numCache>
                <c:formatCode>General</c:formatCode>
                <c:ptCount val="3"/>
                <c:pt idx="0">
                  <c:v>54.36</c:v>
                </c:pt>
                <c:pt idx="1">
                  <c:v>55</c:v>
                </c:pt>
                <c:pt idx="2">
                  <c:v>55.38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8F-0148-8047-A7E38641B8FC}"/>
            </c:ext>
          </c:extLst>
        </c:ser>
        <c:ser>
          <c:idx val="5"/>
          <c:order val="5"/>
          <c:tx>
            <c:strRef>
              <c:f>'Preliminary Analysis'!$I$111</c:f>
              <c:strCache>
                <c:ptCount val="1"/>
                <c:pt idx="0">
                  <c:v>Binary GLM Logistic Regression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'Preliminary Analysis'!$J$105:$L$105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Analysis'!$J$111:$L$111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8F-0148-8047-A7E38641B8FC}"/>
            </c:ext>
          </c:extLst>
        </c:ser>
        <c:ser>
          <c:idx val="6"/>
          <c:order val="6"/>
          <c:tx>
            <c:strRef>
              <c:f>'Preliminary Analysis'!$I$112</c:f>
              <c:strCache>
                <c:ptCount val="1"/>
                <c:pt idx="0">
                  <c:v>Efficient Logistic Regression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'Preliminary Analysis'!$J$105:$L$105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Analysis'!$J$112:$L$112</c:f>
              <c:numCache>
                <c:formatCode>General</c:formatCode>
                <c:ptCount val="3"/>
                <c:pt idx="0">
                  <c:v>51.35</c:v>
                </c:pt>
                <c:pt idx="1">
                  <c:v>52.57</c:v>
                </c:pt>
                <c:pt idx="2">
                  <c:v>51.42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8F-0148-8047-A7E38641B8FC}"/>
            </c:ext>
          </c:extLst>
        </c:ser>
        <c:ser>
          <c:idx val="7"/>
          <c:order val="7"/>
          <c:tx>
            <c:strRef>
              <c:f>'Preliminary Analysis'!$I$113</c:f>
              <c:strCache>
                <c:ptCount val="1"/>
                <c:pt idx="0">
                  <c:v>Efficient Linear SVM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'Preliminary Analysis'!$J$105:$L$105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Analysis'!$J$113:$L$113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60.53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8F-0148-8047-A7E38641B8FC}"/>
            </c:ext>
          </c:extLst>
        </c:ser>
        <c:ser>
          <c:idx val="8"/>
          <c:order val="8"/>
          <c:tx>
            <c:strRef>
              <c:f>'Preliminary Analysis'!$I$114</c:f>
              <c:strCache>
                <c:ptCount val="1"/>
                <c:pt idx="0">
                  <c:v>Naive Bayes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'Preliminary Analysis'!$J$105:$L$105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'Preliminary Analysis'!$J$114:$L$114</c:f>
              <c:numCache>
                <c:formatCode>General</c:formatCode>
                <c:ptCount val="3"/>
                <c:pt idx="0">
                  <c:v>59.37</c:v>
                </c:pt>
                <c:pt idx="1">
                  <c:v>59.49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8F-0148-8047-A7E38641B8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992149711"/>
        <c:axId val="1555998464"/>
      </c:barChart>
      <c:catAx>
        <c:axId val="99214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98464"/>
        <c:crosses val="autoZero"/>
        <c:auto val="1"/>
        <c:lblAlgn val="ctr"/>
        <c:lblOffset val="100"/>
        <c:noMultiLvlLbl val="0"/>
      </c:catAx>
      <c:valAx>
        <c:axId val="1555998464"/>
        <c:scaling>
          <c:orientation val="minMax"/>
          <c:min val="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14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Weighted Score Small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'Weighted Score Small'!$Q$9</c:f>
              <c:strCache>
                <c:ptCount val="1"/>
                <c:pt idx="0">
                  <c:v>Overall 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'Weighted Score Small'!$P$10:$P$33</c:f>
              <c:strCache>
                <c:ptCount val="24"/>
                <c:pt idx="0">
                  <c:v>2.1 Tree</c:v>
                </c:pt>
                <c:pt idx="1">
                  <c:v>2.7 Naive Bayes</c:v>
                </c:pt>
                <c:pt idx="2">
                  <c:v>2.8 Naive Bayes</c:v>
                </c:pt>
                <c:pt idx="3">
                  <c:v>2.1 SVM</c:v>
                </c:pt>
                <c:pt idx="4">
                  <c:v>2.12 SVM</c:v>
                </c:pt>
                <c:pt idx="5">
                  <c:v>2.15 Ensemble</c:v>
                </c:pt>
                <c:pt idx="6">
                  <c:v>2.9 SVM</c:v>
                </c:pt>
                <c:pt idx="7">
                  <c:v>2.22 Neural Network</c:v>
                </c:pt>
                <c:pt idx="8">
                  <c:v>2.19 Neural Network</c:v>
                </c:pt>
                <c:pt idx="9">
                  <c:v>2.11 SVM</c:v>
                </c:pt>
                <c:pt idx="10">
                  <c:v>2.14 SVM</c:v>
                </c:pt>
                <c:pt idx="11">
                  <c:v>2.23 Kernel</c:v>
                </c:pt>
                <c:pt idx="12">
                  <c:v>2.18 Neural Network</c:v>
                </c:pt>
                <c:pt idx="13">
                  <c:v>2.5 Efficient Logistic Regression</c:v>
                </c:pt>
                <c:pt idx="14">
                  <c:v>2.21 Neural Network</c:v>
                </c:pt>
                <c:pt idx="15">
                  <c:v>2.2 Neural Network</c:v>
                </c:pt>
                <c:pt idx="16">
                  <c:v>2.24 Kernel</c:v>
                </c:pt>
                <c:pt idx="17">
                  <c:v>2.6 Efficient Linear SVM</c:v>
                </c:pt>
                <c:pt idx="18">
                  <c:v>2.16 Ensemble</c:v>
                </c:pt>
                <c:pt idx="19">
                  <c:v>2.4 Binary GLM Logistic Regression</c:v>
                </c:pt>
                <c:pt idx="20">
                  <c:v>2.2 Tree</c:v>
                </c:pt>
                <c:pt idx="21">
                  <c:v>2.13 SVM</c:v>
                </c:pt>
                <c:pt idx="22">
                  <c:v>2.3 Tree</c:v>
                </c:pt>
                <c:pt idx="23">
                  <c:v>2.17 Ensemble</c:v>
                </c:pt>
              </c:strCache>
            </c:strRef>
          </c:cat>
          <c:val>
            <c:numRef>
              <c:f>'Weighted Score Small'!$Q$10:$Q$33</c:f>
              <c:numCache>
                <c:formatCode>0.00</c:formatCode>
                <c:ptCount val="24"/>
                <c:pt idx="0">
                  <c:v>0.61</c:v>
                </c:pt>
                <c:pt idx="1">
                  <c:v>0.59</c:v>
                </c:pt>
                <c:pt idx="2">
                  <c:v>0.43</c:v>
                </c:pt>
                <c:pt idx="3">
                  <c:v>0.33</c:v>
                </c:pt>
                <c:pt idx="4">
                  <c:v>0.33</c:v>
                </c:pt>
                <c:pt idx="5">
                  <c:v>0.28999999999999998</c:v>
                </c:pt>
                <c:pt idx="6">
                  <c:v>0.27</c:v>
                </c:pt>
                <c:pt idx="7">
                  <c:v>0.25</c:v>
                </c:pt>
                <c:pt idx="8">
                  <c:v>0.17</c:v>
                </c:pt>
                <c:pt idx="9">
                  <c:v>0.11</c:v>
                </c:pt>
                <c:pt idx="10">
                  <c:v>0.09</c:v>
                </c:pt>
                <c:pt idx="11">
                  <c:v>0.05</c:v>
                </c:pt>
                <c:pt idx="12">
                  <c:v>-0.01</c:v>
                </c:pt>
                <c:pt idx="13">
                  <c:v>-0.17</c:v>
                </c:pt>
                <c:pt idx="14">
                  <c:v>-0.23</c:v>
                </c:pt>
                <c:pt idx="15">
                  <c:v>-0.23</c:v>
                </c:pt>
                <c:pt idx="16">
                  <c:v>-0.24</c:v>
                </c:pt>
                <c:pt idx="17">
                  <c:v>-0.26</c:v>
                </c:pt>
                <c:pt idx="18">
                  <c:v>-0.26</c:v>
                </c:pt>
                <c:pt idx="19">
                  <c:v>-0.27</c:v>
                </c:pt>
                <c:pt idx="20">
                  <c:v>-0.28000000000000003</c:v>
                </c:pt>
                <c:pt idx="21">
                  <c:v>-0.35</c:v>
                </c:pt>
                <c:pt idx="22">
                  <c:v>-0.54</c:v>
                </c:pt>
                <c:pt idx="23">
                  <c:v>-0.68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C-5F4B-B9E8-D242D782F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1546239"/>
        <c:axId val="1908965407"/>
      </c:barChart>
      <c:catAx>
        <c:axId val="26154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965407"/>
        <c:crosses val="autoZero"/>
        <c:auto val="1"/>
        <c:lblAlgn val="ctr"/>
        <c:lblOffset val="100"/>
        <c:noMultiLvlLbl val="0"/>
      </c:catAx>
      <c:valAx>
        <c:axId val="1908965407"/>
        <c:scaling>
          <c:orientation val="minMax"/>
          <c:max val="1"/>
          <c:min val="-3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54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Weighted Score</a:t>
            </a:r>
            <a:r>
              <a:rPr lang="en-US" baseline="0"/>
              <a:t> Medium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'Weighted Score Medium'!$Q$9</c:f>
              <c:strCache>
                <c:ptCount val="1"/>
                <c:pt idx="0">
                  <c:v>Overall 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'Weighted Score Medium'!$P$10:$P$33</c:f>
              <c:strCache>
                <c:ptCount val="24"/>
                <c:pt idx="0">
                  <c:v>2.2 Tree</c:v>
                </c:pt>
                <c:pt idx="1">
                  <c:v>2.3 Tree</c:v>
                </c:pt>
                <c:pt idx="2">
                  <c:v>2.19 Neural Network</c:v>
                </c:pt>
                <c:pt idx="3">
                  <c:v>2.7 Naive Bayes</c:v>
                </c:pt>
                <c:pt idx="4">
                  <c:v>2.22 Neural Network</c:v>
                </c:pt>
                <c:pt idx="5">
                  <c:v>2.1 Tree</c:v>
                </c:pt>
                <c:pt idx="6">
                  <c:v>2.8 Naive Bayes</c:v>
                </c:pt>
                <c:pt idx="7">
                  <c:v>2.9 SVM</c:v>
                </c:pt>
                <c:pt idx="8">
                  <c:v>2.12 SVM</c:v>
                </c:pt>
                <c:pt idx="9">
                  <c:v>2.1 SVM</c:v>
                </c:pt>
                <c:pt idx="10">
                  <c:v>2.14 SVM</c:v>
                </c:pt>
                <c:pt idx="11">
                  <c:v>2.18 Neural Network</c:v>
                </c:pt>
                <c:pt idx="12">
                  <c:v>2.23 Kernel</c:v>
                </c:pt>
                <c:pt idx="13">
                  <c:v>2.15 Ensemble</c:v>
                </c:pt>
                <c:pt idx="14">
                  <c:v>2.11 SVM</c:v>
                </c:pt>
                <c:pt idx="15">
                  <c:v>2.5 Efficient Logistic Regression</c:v>
                </c:pt>
                <c:pt idx="16">
                  <c:v>2.17 Ensemble</c:v>
                </c:pt>
                <c:pt idx="17">
                  <c:v>2.16 Ensemble</c:v>
                </c:pt>
                <c:pt idx="18">
                  <c:v>2.13 SVM</c:v>
                </c:pt>
                <c:pt idx="19">
                  <c:v>2.21 Neural Network</c:v>
                </c:pt>
                <c:pt idx="20">
                  <c:v>2.2 Neural Network</c:v>
                </c:pt>
                <c:pt idx="21">
                  <c:v>2.24 Kernel</c:v>
                </c:pt>
                <c:pt idx="22">
                  <c:v>2.6 Efficient Linear SVM</c:v>
                </c:pt>
                <c:pt idx="23">
                  <c:v>2.4 Binary GLM Logistic Regression</c:v>
                </c:pt>
              </c:strCache>
            </c:strRef>
          </c:cat>
          <c:val>
            <c:numRef>
              <c:f>'Weighted Score Medium'!$Q$10:$Q$33</c:f>
              <c:numCache>
                <c:formatCode>0.00</c:formatCode>
                <c:ptCount val="24"/>
                <c:pt idx="0">
                  <c:v>0.91927177999999998</c:v>
                </c:pt>
                <c:pt idx="1">
                  <c:v>0.65509236999999998</c:v>
                </c:pt>
                <c:pt idx="2">
                  <c:v>0.43431948999999997</c:v>
                </c:pt>
                <c:pt idx="3">
                  <c:v>0.41210296000000002</c:v>
                </c:pt>
                <c:pt idx="4">
                  <c:v>0.33989923999999999</c:v>
                </c:pt>
                <c:pt idx="5">
                  <c:v>0.33239162999999999</c:v>
                </c:pt>
                <c:pt idx="6">
                  <c:v>0.24255394999999999</c:v>
                </c:pt>
                <c:pt idx="7">
                  <c:v>0.24118076999999999</c:v>
                </c:pt>
                <c:pt idx="8">
                  <c:v>0.16092306000000001</c:v>
                </c:pt>
                <c:pt idx="9">
                  <c:v>0.14347607000000001</c:v>
                </c:pt>
                <c:pt idx="10">
                  <c:v>9.8120009999999994E-2</c:v>
                </c:pt>
                <c:pt idx="11">
                  <c:v>4.1575479999999998E-2</c:v>
                </c:pt>
                <c:pt idx="12">
                  <c:v>3.7543300000000002E-2</c:v>
                </c:pt>
                <c:pt idx="13">
                  <c:v>9.4676000000000005E-4</c:v>
                </c:pt>
                <c:pt idx="14">
                  <c:v>-8.1309999999999998E-4</c:v>
                </c:pt>
                <c:pt idx="15">
                  <c:v>-7.0909700000000006E-2</c:v>
                </c:pt>
                <c:pt idx="16">
                  <c:v>-0.12178120000000001</c:v>
                </c:pt>
                <c:pt idx="17">
                  <c:v>-0.19518060000000001</c:v>
                </c:pt>
                <c:pt idx="18">
                  <c:v>-0.45511079999999998</c:v>
                </c:pt>
                <c:pt idx="19">
                  <c:v>-0.59235070000000001</c:v>
                </c:pt>
                <c:pt idx="20">
                  <c:v>-0.59313680000000002</c:v>
                </c:pt>
                <c:pt idx="21">
                  <c:v>-0.61857030000000002</c:v>
                </c:pt>
                <c:pt idx="22">
                  <c:v>-0.67961990000000005</c:v>
                </c:pt>
                <c:pt idx="23">
                  <c:v>-0.73192369999999995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5-BF41-8F07-E6BF0387E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30537391"/>
        <c:axId val="1315531071"/>
      </c:barChart>
      <c:catAx>
        <c:axId val="113053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31071"/>
        <c:crosses val="autoZero"/>
        <c:auto val="1"/>
        <c:lblAlgn val="ctr"/>
        <c:lblOffset val="100"/>
        <c:noMultiLvlLbl val="0"/>
      </c:catAx>
      <c:valAx>
        <c:axId val="1315531071"/>
        <c:scaling>
          <c:orientation val="minMax"/>
          <c:max val="1"/>
          <c:min val="-3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53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Weighted</a:t>
            </a:r>
            <a:r>
              <a:rPr lang="en-US" baseline="0"/>
              <a:t> Score Large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'Weighted Score Large '!$P$9</c:f>
              <c:strCache>
                <c:ptCount val="1"/>
                <c:pt idx="0">
                  <c:v>Overall 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'Weighted Score Large '!$O$10:$O$33</c:f>
              <c:strCache>
                <c:ptCount val="24"/>
                <c:pt idx="0">
                  <c:v>2.4 Binary GLM Logistic Regression</c:v>
                </c:pt>
                <c:pt idx="1">
                  <c:v>2.15 Ensemble</c:v>
                </c:pt>
                <c:pt idx="2">
                  <c:v>2.17 Ensemble</c:v>
                </c:pt>
                <c:pt idx="3">
                  <c:v>2.18 Neural Network</c:v>
                </c:pt>
                <c:pt idx="4">
                  <c:v>2.2 Tree</c:v>
                </c:pt>
                <c:pt idx="5">
                  <c:v>2.1 Tree</c:v>
                </c:pt>
                <c:pt idx="6">
                  <c:v>2.16 Ensemble</c:v>
                </c:pt>
                <c:pt idx="7">
                  <c:v>2.7 Naive Bayes</c:v>
                </c:pt>
                <c:pt idx="8">
                  <c:v>2.11 SVM</c:v>
                </c:pt>
                <c:pt idx="9">
                  <c:v>2.22 Neural Network</c:v>
                </c:pt>
                <c:pt idx="10">
                  <c:v>2.21 Neural Network</c:v>
                </c:pt>
                <c:pt idx="11">
                  <c:v>2.13 SVM</c:v>
                </c:pt>
                <c:pt idx="12">
                  <c:v>2.1 SVM</c:v>
                </c:pt>
                <c:pt idx="13">
                  <c:v>2.3 Tree</c:v>
                </c:pt>
                <c:pt idx="14">
                  <c:v>2.19 Neural Network</c:v>
                </c:pt>
                <c:pt idx="15">
                  <c:v>2.23 Kernel</c:v>
                </c:pt>
                <c:pt idx="16">
                  <c:v>2.24 Kernel</c:v>
                </c:pt>
                <c:pt idx="17">
                  <c:v>2.8 Naive Bayes</c:v>
                </c:pt>
                <c:pt idx="18">
                  <c:v>2.2 Neural Network</c:v>
                </c:pt>
                <c:pt idx="19">
                  <c:v>2.5 Efficient Logistic Regression</c:v>
                </c:pt>
                <c:pt idx="20">
                  <c:v>2.6 Efficient Linear SVM</c:v>
                </c:pt>
                <c:pt idx="21">
                  <c:v>2.9 SVM</c:v>
                </c:pt>
                <c:pt idx="22">
                  <c:v>2.14 SVM</c:v>
                </c:pt>
                <c:pt idx="23">
                  <c:v>2.12 SVM</c:v>
                </c:pt>
              </c:strCache>
            </c:strRef>
          </c:cat>
          <c:val>
            <c:numRef>
              <c:f>'Weighted Score Large '!$P$10:$P$33</c:f>
              <c:numCache>
                <c:formatCode>0.00</c:formatCode>
                <c:ptCount val="24"/>
                <c:pt idx="0">
                  <c:v>0.79</c:v>
                </c:pt>
                <c:pt idx="1">
                  <c:v>0.71</c:v>
                </c:pt>
                <c:pt idx="2">
                  <c:v>0.52</c:v>
                </c:pt>
                <c:pt idx="3">
                  <c:v>0.47</c:v>
                </c:pt>
                <c:pt idx="4">
                  <c:v>0.34</c:v>
                </c:pt>
                <c:pt idx="5">
                  <c:v>0.26</c:v>
                </c:pt>
                <c:pt idx="6">
                  <c:v>0.26</c:v>
                </c:pt>
                <c:pt idx="7">
                  <c:v>0.16</c:v>
                </c:pt>
                <c:pt idx="8">
                  <c:v>0.14000000000000001</c:v>
                </c:pt>
                <c:pt idx="9">
                  <c:v>0.12</c:v>
                </c:pt>
                <c:pt idx="10">
                  <c:v>0.1</c:v>
                </c:pt>
                <c:pt idx="11">
                  <c:v>0.04</c:v>
                </c:pt>
                <c:pt idx="12">
                  <c:v>-0.02</c:v>
                </c:pt>
                <c:pt idx="13">
                  <c:v>-0.03</c:v>
                </c:pt>
                <c:pt idx="14">
                  <c:v>-0.09</c:v>
                </c:pt>
                <c:pt idx="15">
                  <c:v>-0.09</c:v>
                </c:pt>
                <c:pt idx="16">
                  <c:v>-0.12</c:v>
                </c:pt>
                <c:pt idx="17">
                  <c:v>-0.35</c:v>
                </c:pt>
                <c:pt idx="18">
                  <c:v>-0.52</c:v>
                </c:pt>
                <c:pt idx="19">
                  <c:v>-2.98</c:v>
                </c:pt>
                <c:pt idx="20">
                  <c:v>-2.98</c:v>
                </c:pt>
                <c:pt idx="21">
                  <c:v>-3</c:v>
                </c:pt>
                <c:pt idx="22">
                  <c:v>-3.06</c:v>
                </c:pt>
                <c:pt idx="23">
                  <c:v>-3.15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B-A146-98AA-92071AADD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04528383"/>
        <c:axId val="59266784"/>
      </c:barChart>
      <c:catAx>
        <c:axId val="190452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6784"/>
        <c:crosses val="autoZero"/>
        <c:auto val="1"/>
        <c:lblAlgn val="ctr"/>
        <c:lblOffset val="100"/>
        <c:noMultiLvlLbl val="0"/>
      </c:catAx>
      <c:valAx>
        <c:axId val="592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2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107950</xdr:colOff>
      <xdr:row>8</xdr:row>
      <xdr:rowOff>38100</xdr:rowOff>
    </xdr:from>
    <xdr:to>
      <xdr:col>22</xdr:col>
      <xdr:colOff>552450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A31BD5-D1D3-3FA8-ECAF-9CC416524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33</xdr:row>
      <xdr:rowOff>158750</xdr:rowOff>
    </xdr:from>
    <xdr:to>
      <xdr:col>8</xdr:col>
      <xdr:colOff>825500</xdr:colOff>
      <xdr:row>50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18C9F6-C3CE-F053-A236-90BA8E696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177800</xdr:colOff>
      <xdr:row>34</xdr:row>
      <xdr:rowOff>50800</xdr:rowOff>
    </xdr:from>
    <xdr:to>
      <xdr:col>13</xdr:col>
      <xdr:colOff>127000</xdr:colOff>
      <xdr:row>39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B99F43-BD4E-E623-0126-8EF94627E071}"/>
            </a:ext>
          </a:extLst>
        </xdr:cNvPr>
        <xdr:cNvSpPr txBox="1"/>
      </xdr:nvSpPr>
      <xdr:spPr>
        <a:xfrm>
          <a:off x="8013700" y="6959600"/>
          <a:ext cx="3365500" cy="100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Z Score Formula : </a:t>
          </a:r>
        </a:p>
        <a:p>
          <a:pPr algn="ctr"/>
          <a:r>
            <a:rPr lang="en-US" sz="1400"/>
            <a:t>=(D10-AVERAGE($D$10:$D$33))/STDEV.S($D$10:$D$33)</a:t>
          </a:r>
        </a:p>
      </xdr:txBody>
    </xdr:sp>
    <xdr:clientData/>
  </xdr:twoCellAnchor>
  <xdr:twoCellAnchor>
    <xdr:from>
      <xdr:col>13</xdr:col>
      <xdr:colOff>609600</xdr:colOff>
      <xdr:row>34</xdr:row>
      <xdr:rowOff>63500</xdr:rowOff>
    </xdr:from>
    <xdr:to>
      <xdr:col>17</xdr:col>
      <xdr:colOff>673100</xdr:colOff>
      <xdr:row>39</xdr:row>
      <xdr:rowOff>50800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FDCAAE-9B4F-844E-A29A-4FBD21D876F7}"/>
            </a:ext>
          </a:extLst>
        </xdr:cNvPr>
        <xdr:cNvSpPr txBox="1"/>
      </xdr:nvSpPr>
      <xdr:spPr>
        <a:xfrm>
          <a:off x="11861800" y="6972300"/>
          <a:ext cx="3365500" cy="100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Overall Score Formula : </a:t>
          </a:r>
        </a:p>
        <a:p>
          <a:pPr algn="ctr"/>
          <a:r>
            <a:rPr lang="en-US" sz="1400"/>
            <a:t>=(0.5*I10)+(0.2*H10)+(0.2*J10)-(0.1*K10)</a:t>
          </a:r>
        </a:p>
      </xdr:txBody>
    </xdr:sp>
    <xdr:clientData/>
  </xdr:twoCellAnchor>
  <xdr:twoCellAnchor>
    <xdr:from>
      <xdr:col>17</xdr:col>
      <xdr:colOff>107950</xdr:colOff>
      <xdr:row>8</xdr:row>
      <xdr:rowOff>0</xdr:rowOff>
    </xdr:from>
    <xdr:to>
      <xdr:col>22</xdr:col>
      <xdr:colOff>552450</xdr:colOff>
      <xdr:row>32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5478AE-B9E6-CE8F-8012-EC8155283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8</xdr:row>
      <xdr:rowOff>76200</xdr:rowOff>
    </xdr:from>
    <xdr:to>
      <xdr:col>21</xdr:col>
      <xdr:colOff>698500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742C6B-B72C-722B-EE69-B2E3A0D99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31750</xdr:colOff>
      <xdr:row>28</xdr:row>
      <xdr:rowOff>184150</xdr:rowOff>
    </xdr:from>
    <xdr:to>
      <xdr:col>18</xdr:col>
      <xdr:colOff>6350</xdr:colOff>
      <xdr:row>43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BC00E7-4B2D-350B-EDFC-C9422738F215}"/>
            </a:ext>
          </a:extLst>
        </xdr:cNvPr>
        <xdr:cNvSpPr txBox="1"/>
      </xdr:nvSpPr>
      <xdr:spPr>
        <a:xfrm>
          <a:off x="12604750" y="5784850"/>
          <a:ext cx="2489200" cy="283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4. SVM :</a:t>
          </a:r>
        </a:p>
        <a:p>
          <a:pPr algn="l"/>
          <a:r>
            <a:rPr lang="en-US" sz="1400" b="0"/>
            <a:t>-</a:t>
          </a:r>
          <a:r>
            <a:rPr lang="en-US" sz="1400" b="0" baseline="0"/>
            <a:t> Low Accuracy</a:t>
          </a:r>
        </a:p>
        <a:p>
          <a:pPr algn="l"/>
          <a:r>
            <a:rPr lang="en-US" sz="1400" b="0" baseline="0"/>
            <a:t>- (69-86) %</a:t>
          </a:r>
        </a:p>
        <a:p>
          <a:pPr algn="l"/>
          <a:r>
            <a:rPr lang="en-US" sz="1400" b="0" baseline="0"/>
            <a:t>- 82% Avg</a:t>
          </a:r>
        </a:p>
        <a:p>
          <a:pPr algn="l"/>
          <a:r>
            <a:rPr lang="en-US" sz="1400" b="0" baseline="0"/>
            <a:t>- High Error Rates</a:t>
          </a:r>
        </a:p>
        <a:p>
          <a:pPr algn="l"/>
          <a:r>
            <a:rPr lang="en-US" sz="1400" b="0" baseline="0"/>
            <a:t>- (14-28) %</a:t>
          </a:r>
        </a:p>
        <a:p>
          <a:pPr algn="l"/>
          <a:r>
            <a:rPr lang="en-US" sz="1400" b="0" baseline="0"/>
            <a:t>- 18% Avg</a:t>
          </a:r>
        </a:p>
        <a:p>
          <a:pPr algn="l"/>
          <a:r>
            <a:rPr lang="en-US" sz="1400" b="0" baseline="0"/>
            <a:t>- Long Training Times</a:t>
          </a:r>
        </a:p>
        <a:p>
          <a:pPr algn="l"/>
          <a:r>
            <a:rPr lang="en-US" sz="1400" b="0" baseline="0"/>
            <a:t>- (0.7-95)</a:t>
          </a:r>
        </a:p>
        <a:p>
          <a:pPr algn="l"/>
          <a:r>
            <a:rPr lang="en-US" sz="1400" b="0" baseline="0"/>
            <a:t>- High Recall</a:t>
          </a:r>
        </a:p>
        <a:p>
          <a:pPr algn="l"/>
          <a:r>
            <a:rPr lang="en-US" sz="1400" b="0" baseline="0"/>
            <a:t>- (50-72) %</a:t>
          </a:r>
        </a:p>
        <a:p>
          <a:pPr algn="l"/>
          <a:r>
            <a:rPr lang="en-US" sz="1400" b="0" baseline="0"/>
            <a:t>- 61% Avg</a:t>
          </a:r>
          <a:endParaRPr lang="en-US" sz="1400" b="0"/>
        </a:p>
      </xdr:txBody>
    </xdr:sp>
    <xdr:clientData/>
  </xdr:twoCellAnchor>
  <xdr:twoCellAnchor>
    <xdr:from>
      <xdr:col>7</xdr:col>
      <xdr:colOff>95250</xdr:colOff>
      <xdr:row>28</xdr:row>
      <xdr:rowOff>114300</xdr:rowOff>
    </xdr:from>
    <xdr:to>
      <xdr:col>10</xdr:col>
      <xdr:colOff>69850</xdr:colOff>
      <xdr:row>42</xdr:row>
      <xdr:rowOff>76200</xdr:rowOff>
    </xdr:to>
    <xdr:sp macro="" textlink="">
      <xdr:nvSpPr>
        <xdr:cNvPr id="18" name="TextBox 2">
          <a:extLst>
            <a:ext uri="{FF2B5EF4-FFF2-40B4-BE49-F238E27FC236}">
              <a16:creationId xmlns:a16="http://schemas.microsoft.com/office/drawing/2014/main" id="{624A761F-5B3A-6A4A-AD58-FCA1818D94DE}"/>
            </a:ext>
            <a:ext uri="{147F2762-F138-4A5C-976F-8EAC2B608ADB}">
              <a16:predDERef xmlns:a16="http://schemas.microsoft.com/office/drawing/2014/main" pred="{41BC00E7-4B2D-350B-EDFC-C9422738F215}"/>
            </a:ext>
          </a:extLst>
        </xdr:cNvPr>
        <xdr:cNvSpPr txBox="1"/>
      </xdr:nvSpPr>
      <xdr:spPr>
        <a:xfrm>
          <a:off x="5962650" y="5715000"/>
          <a:ext cx="2489200" cy="2762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2. Neutral Networks : </a:t>
          </a:r>
        </a:p>
        <a:p>
          <a:pPr algn="l"/>
          <a:r>
            <a:rPr lang="en-US" sz="1400" b="0"/>
            <a:t>-</a:t>
          </a:r>
          <a:r>
            <a:rPr lang="en-US" sz="1400" b="0" baseline="0"/>
            <a:t> Solid Accuracy</a:t>
          </a:r>
        </a:p>
        <a:p>
          <a:pPr algn="l"/>
          <a:r>
            <a:rPr lang="en-US" sz="1400" b="0" baseline="0"/>
            <a:t>- (85) %</a:t>
          </a:r>
        </a:p>
        <a:p>
          <a:pPr algn="l"/>
          <a:r>
            <a:rPr lang="en-US" sz="1400" b="0" baseline="0"/>
            <a:t>- 85% Avg</a:t>
          </a:r>
        </a:p>
        <a:p>
          <a:pPr algn="l"/>
          <a:r>
            <a:rPr lang="en-US" sz="1400" b="0" baseline="0"/>
            <a:t>- Solid Error Rate</a:t>
          </a:r>
        </a:p>
        <a:p>
          <a:pPr algn="l"/>
          <a:r>
            <a:rPr lang="en-US" sz="1400" b="0" baseline="0"/>
            <a:t>- (15) %</a:t>
          </a:r>
        </a:p>
        <a:p>
          <a:pPr algn="l"/>
          <a:r>
            <a:rPr lang="en-US" sz="1400" b="0" baseline="0"/>
            <a:t>- 15% Avg</a:t>
          </a:r>
        </a:p>
        <a:p>
          <a:pPr algn="l"/>
          <a:r>
            <a:rPr lang="en-US" sz="1400" b="0" baseline="0"/>
            <a:t>- Very Fast Training Time</a:t>
          </a:r>
        </a:p>
        <a:p>
          <a:pPr algn="l"/>
          <a:r>
            <a:rPr lang="en-US" sz="1400" b="0" baseline="0"/>
            <a:t>- (0.8-4.7)</a:t>
          </a:r>
        </a:p>
        <a:p>
          <a:pPr algn="l"/>
          <a:r>
            <a:rPr lang="en-US" sz="1400" b="0" baseline="0"/>
            <a:t>- Macro Recall</a:t>
          </a:r>
        </a:p>
        <a:p>
          <a:pPr algn="l"/>
          <a:r>
            <a:rPr lang="en-US" sz="1400" b="0" baseline="0"/>
            <a:t>- (50-62) %</a:t>
          </a:r>
        </a:p>
        <a:p>
          <a:pPr algn="l"/>
          <a:r>
            <a:rPr lang="en-US" sz="1400" b="0" baseline="0"/>
            <a:t>- 55% Avg</a:t>
          </a:r>
          <a:endParaRPr lang="en-US" sz="1400" b="0"/>
        </a:p>
      </xdr:txBody>
    </xdr:sp>
    <xdr:clientData/>
  </xdr:twoCellAnchor>
  <xdr:twoCellAnchor>
    <xdr:from>
      <xdr:col>10</xdr:col>
      <xdr:colOff>803275</xdr:colOff>
      <xdr:row>28</xdr:row>
      <xdr:rowOff>171450</xdr:rowOff>
    </xdr:from>
    <xdr:to>
      <xdr:col>13</xdr:col>
      <xdr:colOff>777875</xdr:colOff>
      <xdr:row>42</xdr:row>
      <xdr:rowOff>82550</xdr:rowOff>
    </xdr:to>
    <xdr:sp macro="" textlink="">
      <xdr:nvSpPr>
        <xdr:cNvPr id="24" name="TextBox 3">
          <a:extLst>
            <a:ext uri="{FF2B5EF4-FFF2-40B4-BE49-F238E27FC236}">
              <a16:creationId xmlns:a16="http://schemas.microsoft.com/office/drawing/2014/main" id="{4290C3A6-6F85-E94E-9810-A5C95F54F0AA}"/>
            </a:ext>
            <a:ext uri="{147F2762-F138-4A5C-976F-8EAC2B608ADB}">
              <a16:predDERef xmlns:a16="http://schemas.microsoft.com/office/drawing/2014/main" pred="{624A761F-5B3A-6A4A-AD58-FCA1818D94DE}"/>
            </a:ext>
          </a:extLst>
        </xdr:cNvPr>
        <xdr:cNvSpPr txBox="1"/>
      </xdr:nvSpPr>
      <xdr:spPr>
        <a:xfrm>
          <a:off x="9185275" y="5772150"/>
          <a:ext cx="2489200" cy="271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3. Tree :</a:t>
          </a:r>
        </a:p>
        <a:p>
          <a:pPr algn="l"/>
          <a:r>
            <a:rPr lang="en-US" sz="1400" b="0"/>
            <a:t>-</a:t>
          </a:r>
          <a:r>
            <a:rPr lang="en-US" sz="1400" b="0" baseline="0"/>
            <a:t> Solid Accuracy </a:t>
          </a:r>
        </a:p>
        <a:p>
          <a:pPr algn="l"/>
          <a:r>
            <a:rPr lang="en-US" sz="1400" b="0" baseline="0"/>
            <a:t>- (85) %</a:t>
          </a:r>
        </a:p>
        <a:p>
          <a:pPr algn="l"/>
          <a:r>
            <a:rPr lang="en-US" sz="1400" b="0" baseline="0"/>
            <a:t>- 85% Avg</a:t>
          </a:r>
        </a:p>
        <a:p>
          <a:pPr algn="l"/>
          <a:r>
            <a:rPr lang="en-US" sz="1400" b="0" baseline="0"/>
            <a:t>- Solid Error Rates</a:t>
          </a:r>
        </a:p>
        <a:p>
          <a:pPr algn="l"/>
          <a:r>
            <a:rPr lang="en-US" sz="1400" b="0" baseline="0"/>
            <a:t>- (15)%</a:t>
          </a:r>
        </a:p>
        <a:p>
          <a:pPr algn="l"/>
          <a:r>
            <a:rPr lang="en-US" sz="1400" b="0" baseline="0"/>
            <a:t>- 14% Avg</a:t>
          </a:r>
        </a:p>
        <a:p>
          <a:pPr algn="l"/>
          <a:r>
            <a:rPr lang="en-US" sz="1400" b="0" baseline="0"/>
            <a:t>- Varying Run Times </a:t>
          </a:r>
        </a:p>
        <a:p>
          <a:pPr algn="l"/>
          <a:r>
            <a:rPr lang="en-US" sz="1400" b="0" baseline="0"/>
            <a:t>- (3-548) </a:t>
          </a:r>
        </a:p>
        <a:p>
          <a:pPr algn="l"/>
          <a:r>
            <a:rPr lang="en-US" sz="1400" b="0" baseline="0"/>
            <a:t>- Macro Recall </a:t>
          </a:r>
        </a:p>
        <a:p>
          <a:pPr algn="l"/>
          <a:r>
            <a:rPr lang="en-US" sz="1400" b="0" baseline="0"/>
            <a:t>- (50-60) %</a:t>
          </a:r>
        </a:p>
        <a:p>
          <a:pPr algn="l"/>
          <a:r>
            <a:rPr lang="en-US" sz="1400" b="0" baseline="0"/>
            <a:t>- 62% Avg</a:t>
          </a:r>
          <a:endParaRPr lang="en-US" sz="1400" b="1"/>
        </a:p>
      </xdr:txBody>
    </xdr:sp>
    <xdr:clientData/>
  </xdr:twoCellAnchor>
  <xdr:twoCellAnchor>
    <xdr:from>
      <xdr:col>3</xdr:col>
      <xdr:colOff>323850</xdr:colOff>
      <xdr:row>29</xdr:row>
      <xdr:rowOff>57150</xdr:rowOff>
    </xdr:from>
    <xdr:to>
      <xdr:col>6</xdr:col>
      <xdr:colOff>298450</xdr:colOff>
      <xdr:row>42</xdr:row>
      <xdr:rowOff>95250</xdr:rowOff>
    </xdr:to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EA877A3E-0307-7645-8049-2A7DBF21D4D5}"/>
            </a:ext>
            <a:ext uri="{147F2762-F138-4A5C-976F-8EAC2B608ADB}">
              <a16:predDERef xmlns:a16="http://schemas.microsoft.com/office/drawing/2014/main" pred="{4290C3A6-6F85-E94E-9810-A5C95F54F0AA}"/>
            </a:ext>
          </a:extLst>
        </xdr:cNvPr>
        <xdr:cNvSpPr txBox="1"/>
      </xdr:nvSpPr>
      <xdr:spPr>
        <a:xfrm>
          <a:off x="2838450" y="5857875"/>
          <a:ext cx="2479675" cy="2638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1. Naive Bayes : </a:t>
          </a:r>
        </a:p>
        <a:p>
          <a:pPr algn="l"/>
          <a:r>
            <a:rPr lang="en-US" sz="1400" b="0"/>
            <a:t>-</a:t>
          </a:r>
          <a:r>
            <a:rPr lang="en-US" sz="1400" b="0" baseline="0"/>
            <a:t> High Accuracy</a:t>
          </a:r>
        </a:p>
        <a:p>
          <a:pPr algn="l"/>
          <a:r>
            <a:rPr lang="en-US" sz="1400" b="0" baseline="0"/>
            <a:t>- (85-86) %</a:t>
          </a:r>
        </a:p>
        <a:p>
          <a:pPr algn="l"/>
          <a:r>
            <a:rPr lang="en-US" sz="1400" b="0" baseline="0"/>
            <a:t>- 86% Avg</a:t>
          </a:r>
        </a:p>
        <a:p>
          <a:pPr algn="l"/>
          <a:r>
            <a:rPr lang="en-US" sz="1400" b="0" baseline="0"/>
            <a:t>- Low Error Rates</a:t>
          </a:r>
        </a:p>
        <a:p>
          <a:pPr algn="l"/>
          <a:r>
            <a:rPr lang="en-US" sz="1400" b="0" baseline="0"/>
            <a:t>- (14) %</a:t>
          </a:r>
        </a:p>
        <a:p>
          <a:pPr algn="l"/>
          <a:r>
            <a:rPr lang="en-US" sz="1400" b="0" baseline="0"/>
            <a:t>- 14% Avg</a:t>
          </a:r>
        </a:p>
        <a:p>
          <a:pPr algn="l"/>
          <a:r>
            <a:rPr lang="en-US" sz="1400" b="0" baseline="0"/>
            <a:t>- Medium Training Times</a:t>
          </a:r>
        </a:p>
        <a:p>
          <a:pPr algn="l"/>
          <a:r>
            <a:rPr lang="en-US" sz="1400" b="0" baseline="0"/>
            <a:t>- (13-54)</a:t>
          </a:r>
        </a:p>
        <a:p>
          <a:pPr algn="l"/>
          <a:r>
            <a:rPr lang="en-US" sz="1400" b="0" baseline="0"/>
            <a:t>- Strong Macro Recall </a:t>
          </a:r>
        </a:p>
        <a:p>
          <a:pPr algn="l"/>
          <a:r>
            <a:rPr lang="en-US" sz="1400" b="0" baseline="0"/>
            <a:t>- (50-59) %</a:t>
          </a:r>
        </a:p>
        <a:p>
          <a:pPr algn="l"/>
          <a:r>
            <a:rPr lang="en-US" sz="1400" b="0" baseline="0"/>
            <a:t>- 57% Avg</a:t>
          </a:r>
          <a:endParaRPr lang="en-US" sz="1400" b="0"/>
        </a:p>
      </xdr:txBody>
    </xdr:sp>
    <xdr:clientData/>
  </xdr:twoCellAnchor>
  <xdr:twoCellAnchor>
    <xdr:from>
      <xdr:col>0</xdr:col>
      <xdr:colOff>542925</xdr:colOff>
      <xdr:row>28</xdr:row>
      <xdr:rowOff>139700</xdr:rowOff>
    </xdr:from>
    <xdr:to>
      <xdr:col>2</xdr:col>
      <xdr:colOff>238125</xdr:colOff>
      <xdr:row>42</xdr:row>
      <xdr:rowOff>3175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D286C47A-60CB-AC0E-4A46-5CE7363CE759}"/>
            </a:ext>
            <a:ext uri="{147F2762-F138-4A5C-976F-8EAC2B608ADB}">
              <a16:predDERef xmlns:a16="http://schemas.microsoft.com/office/drawing/2014/main" pred="{EA877A3E-0307-7645-8049-2A7DBF21D4D5}"/>
            </a:ext>
          </a:extLst>
        </xdr:cNvPr>
        <xdr:cNvSpPr txBox="1"/>
      </xdr:nvSpPr>
      <xdr:spPr>
        <a:xfrm>
          <a:off x="542925" y="5740400"/>
          <a:ext cx="1371600" cy="26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/>
            <a:t>Machine</a:t>
          </a:r>
          <a:endParaRPr lang="en-US" sz="2400" baseline="0"/>
        </a:p>
        <a:p>
          <a:pPr algn="ctr"/>
          <a:r>
            <a:rPr lang="en-US" sz="2400" baseline="0"/>
            <a:t>Leaning</a:t>
          </a:r>
        </a:p>
        <a:p>
          <a:pPr algn="ctr"/>
          <a:r>
            <a:rPr lang="en-US" sz="2400" baseline="0"/>
            <a:t>Methods</a:t>
          </a:r>
          <a:endParaRPr lang="en-US" sz="2400"/>
        </a:p>
      </xdr:txBody>
    </xdr:sp>
    <xdr:clientData/>
  </xdr:twoCellAnchor>
  <xdr:twoCellAnchor>
    <xdr:from>
      <xdr:col>0</xdr:col>
      <xdr:colOff>530225</xdr:colOff>
      <xdr:row>43</xdr:row>
      <xdr:rowOff>130175</xdr:rowOff>
    </xdr:from>
    <xdr:to>
      <xdr:col>2</xdr:col>
      <xdr:colOff>225425</xdr:colOff>
      <xdr:row>56</xdr:row>
      <xdr:rowOff>190500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233C6115-20C3-4E45-A5E8-E41A89B3497A}"/>
            </a:ext>
            <a:ext uri="{147F2762-F138-4A5C-976F-8EAC2B608ADB}">
              <a16:predDERef xmlns:a16="http://schemas.microsoft.com/office/drawing/2014/main" pred="{D286C47A-60CB-AC0E-4A46-5CE7363CE759}"/>
            </a:ext>
          </a:extLst>
        </xdr:cNvPr>
        <xdr:cNvSpPr txBox="1"/>
      </xdr:nvSpPr>
      <xdr:spPr>
        <a:xfrm>
          <a:off x="530225" y="8731250"/>
          <a:ext cx="1371600" cy="266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/>
            <a:t>Feature</a:t>
          </a:r>
        </a:p>
        <a:p>
          <a:pPr algn="ctr"/>
          <a:r>
            <a:rPr lang="en-US" sz="2400"/>
            <a:t>Selction</a:t>
          </a:r>
        </a:p>
        <a:p>
          <a:pPr algn="ctr"/>
          <a:r>
            <a:rPr lang="en-US" sz="2400"/>
            <a:t>Trends</a:t>
          </a:r>
        </a:p>
      </xdr:txBody>
    </xdr:sp>
    <xdr:clientData/>
  </xdr:twoCellAnchor>
  <xdr:twoCellAnchor>
    <xdr:from>
      <xdr:col>3</xdr:col>
      <xdr:colOff>666750</xdr:colOff>
      <xdr:row>43</xdr:row>
      <xdr:rowOff>57150</xdr:rowOff>
    </xdr:from>
    <xdr:to>
      <xdr:col>6</xdr:col>
      <xdr:colOff>641350</xdr:colOff>
      <xdr:row>59</xdr:row>
      <xdr:rowOff>120650</xdr:rowOff>
    </xdr:to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72833457-97E2-E546-9817-7B702C140277}"/>
            </a:ext>
            <a:ext uri="{147F2762-F138-4A5C-976F-8EAC2B608ADB}">
              <a16:predDERef xmlns:a16="http://schemas.microsoft.com/office/drawing/2014/main" pred="{233C6115-20C3-4E45-A5E8-E41A89B3497A}"/>
            </a:ext>
          </a:extLst>
        </xdr:cNvPr>
        <xdr:cNvSpPr txBox="1"/>
      </xdr:nvSpPr>
      <xdr:spPr>
        <a:xfrm>
          <a:off x="3181350" y="8658225"/>
          <a:ext cx="2489200" cy="326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Small ➡️ Medium : </a:t>
          </a:r>
        </a:p>
        <a:p>
          <a:pPr algn="l"/>
          <a:r>
            <a:rPr lang="en-US" sz="1200" b="0" u="sng" baseline="0"/>
            <a:t>Naive Bayes : </a:t>
          </a:r>
        </a:p>
        <a:p>
          <a:pPr algn="l"/>
          <a:r>
            <a:rPr lang="en-US" sz="1200" b="0" baseline="0"/>
            <a:t>- Accuarcy (-0.35%)</a:t>
          </a:r>
        </a:p>
        <a:p>
          <a:pPr algn="l"/>
          <a:r>
            <a:rPr lang="en-US" sz="1200" b="0" baseline="0"/>
            <a:t>- Macro Recall (+0.4%)</a:t>
          </a:r>
        </a:p>
        <a:p>
          <a:pPr algn="l"/>
          <a:r>
            <a:rPr lang="en-US" sz="1200" b="0" baseline="0"/>
            <a:t>- Error Rate (-0.33%)</a:t>
          </a:r>
        </a:p>
        <a:p>
          <a:pPr algn="l"/>
          <a:r>
            <a:rPr lang="en-US" sz="1200" b="0" i="0" u="sng" baseline="0"/>
            <a:t>Neutal Networks : </a:t>
          </a:r>
        </a:p>
        <a:p>
          <a:pPr algn="l"/>
          <a:r>
            <a:rPr lang="en-US" sz="1200" b="0" baseline="0"/>
            <a:t>- Accuarcy (+0.2%)</a:t>
          </a:r>
        </a:p>
        <a:p>
          <a:pPr algn="l"/>
          <a:r>
            <a:rPr lang="en-US" sz="1200" b="0" baseline="0"/>
            <a:t>- Macro Recall (+0.5%)</a:t>
          </a:r>
        </a:p>
        <a:p>
          <a:pPr algn="l"/>
          <a:r>
            <a:rPr lang="en-US" sz="1200" b="0" baseline="0"/>
            <a:t>- Error Rate (-0.2%)</a:t>
          </a:r>
        </a:p>
        <a:p>
          <a:pPr algn="l"/>
          <a:r>
            <a:rPr lang="en-US" sz="1200" b="0" u="sng" baseline="0"/>
            <a:t>Tree : </a:t>
          </a:r>
        </a:p>
        <a:p>
          <a:pPr algn="l"/>
          <a:r>
            <a:rPr lang="en-US" sz="1200" b="0" baseline="0"/>
            <a:t>- Accuarcy (+0.2%)</a:t>
          </a:r>
        </a:p>
        <a:p>
          <a:pPr algn="l"/>
          <a:r>
            <a:rPr lang="en-US" sz="1200" b="0" baseline="0"/>
            <a:t>- Macro Recall (+0.7%)</a:t>
          </a:r>
        </a:p>
        <a:p>
          <a:pPr algn="l"/>
          <a:r>
            <a:rPr lang="en-US" sz="1200" b="0" baseline="0"/>
            <a:t>- Error Rate (-0.2%)</a:t>
          </a:r>
        </a:p>
        <a:p>
          <a:pPr algn="l"/>
          <a:r>
            <a:rPr lang="en-US" sz="1200" b="0" u="sng" baseline="0"/>
            <a:t>SVM : </a:t>
          </a:r>
        </a:p>
        <a:p>
          <a:pPr algn="l"/>
          <a:r>
            <a:rPr lang="en-US" sz="1200" b="0" baseline="0"/>
            <a:t>- Accuarcy (+0.5%)</a:t>
          </a:r>
        </a:p>
        <a:p>
          <a:pPr algn="l"/>
          <a:r>
            <a:rPr lang="en-US" sz="1200" b="0" baseline="0"/>
            <a:t>- Macro Recall (+0.7%)</a:t>
          </a:r>
        </a:p>
        <a:p>
          <a:pPr algn="l"/>
          <a:r>
            <a:rPr lang="en-US" sz="1200" b="0" baseline="0"/>
            <a:t>- Error Rate (-0.5%)</a:t>
          </a:r>
          <a:endParaRPr lang="en-US" sz="1200" b="0" u="sng" baseline="0"/>
        </a:p>
        <a:p>
          <a:pPr algn="l"/>
          <a:endParaRPr lang="en-US" sz="1400" b="0" u="sng" baseline="0"/>
        </a:p>
        <a:p>
          <a:pPr algn="l"/>
          <a:endParaRPr lang="en-US" sz="1400" b="0" i="0" u="sng"/>
        </a:p>
      </xdr:txBody>
    </xdr:sp>
    <xdr:clientData/>
  </xdr:twoCellAnchor>
  <xdr:twoCellAnchor>
    <xdr:from>
      <xdr:col>7</xdr:col>
      <xdr:colOff>12700</xdr:colOff>
      <xdr:row>42</xdr:row>
      <xdr:rowOff>190500</xdr:rowOff>
    </xdr:from>
    <xdr:to>
      <xdr:col>9</xdr:col>
      <xdr:colOff>812800</xdr:colOff>
      <xdr:row>59</xdr:row>
      <xdr:rowOff>50800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CD18A7-A130-1243-9407-B83CA880B1C7}"/>
            </a:ext>
          </a:extLst>
        </xdr:cNvPr>
        <xdr:cNvSpPr txBox="1"/>
      </xdr:nvSpPr>
      <xdr:spPr>
        <a:xfrm>
          <a:off x="5791200" y="8712200"/>
          <a:ext cx="2451100" cy="331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Medium ➡️</a:t>
          </a:r>
          <a:r>
            <a:rPr lang="en-US" sz="1400" b="1" baseline="0"/>
            <a:t> </a:t>
          </a:r>
          <a:r>
            <a:rPr lang="en-US" sz="1400" b="1"/>
            <a:t>Large : </a:t>
          </a:r>
        </a:p>
        <a:p>
          <a:pPr algn="l"/>
          <a:r>
            <a:rPr lang="en-US" sz="1200" b="0" u="sng" baseline="0"/>
            <a:t>Naive Bayes : </a:t>
          </a:r>
        </a:p>
        <a:p>
          <a:pPr algn="l"/>
          <a:r>
            <a:rPr lang="en-US" sz="1200" b="0" baseline="0"/>
            <a:t>- Accuarcy (-0.59%)</a:t>
          </a:r>
        </a:p>
        <a:p>
          <a:pPr algn="l"/>
          <a:r>
            <a:rPr lang="en-US" sz="1200" b="0" baseline="0"/>
            <a:t>- Macro Recall (-1.2%)</a:t>
          </a:r>
        </a:p>
        <a:p>
          <a:pPr algn="l"/>
          <a:r>
            <a:rPr lang="en-US" sz="1200" b="0" baseline="0"/>
            <a:t>- Error Rate (+0.59%)</a:t>
          </a:r>
        </a:p>
        <a:p>
          <a:pPr algn="l"/>
          <a:r>
            <a:rPr lang="en-US" sz="1200" b="0" i="0" u="sng" baseline="0"/>
            <a:t>Neutal Networks : </a:t>
          </a:r>
        </a:p>
        <a:p>
          <a:pPr algn="l"/>
          <a:r>
            <a:rPr lang="en-US" sz="1200" b="0" baseline="0"/>
            <a:t>- Accuarcy (-0.4%)</a:t>
          </a:r>
        </a:p>
        <a:p>
          <a:pPr algn="l"/>
          <a:r>
            <a:rPr lang="en-US" sz="1200" b="0" baseline="0"/>
            <a:t>- Macro Recall (-0.4%)</a:t>
          </a:r>
        </a:p>
        <a:p>
          <a:pPr algn="l"/>
          <a:r>
            <a:rPr lang="en-US" sz="1200" b="0" baseline="0"/>
            <a:t>- Error Rate (+0.4%)</a:t>
          </a:r>
        </a:p>
        <a:p>
          <a:pPr algn="l"/>
          <a:r>
            <a:rPr lang="en-US" sz="1200" b="0" u="sng" baseline="0"/>
            <a:t>Tree : </a:t>
          </a:r>
        </a:p>
        <a:p>
          <a:pPr algn="l"/>
          <a:r>
            <a:rPr lang="en-US" sz="1200" b="0" baseline="0"/>
            <a:t>- Accuarcy (-0.2%)</a:t>
          </a:r>
        </a:p>
        <a:p>
          <a:pPr algn="l"/>
          <a:r>
            <a:rPr lang="en-US" sz="1200" b="0" baseline="0"/>
            <a:t>- Macro Recall (-0.5%)</a:t>
          </a:r>
        </a:p>
        <a:p>
          <a:pPr algn="l"/>
          <a:r>
            <a:rPr lang="en-US" sz="1200" b="0" baseline="0"/>
            <a:t>- Error Rate (+0.2%)</a:t>
          </a:r>
        </a:p>
        <a:p>
          <a:pPr algn="l"/>
          <a:r>
            <a:rPr lang="en-US" sz="1200" b="0" u="sng" baseline="0"/>
            <a:t>SVM : </a:t>
          </a:r>
        </a:p>
        <a:p>
          <a:pPr algn="l"/>
          <a:r>
            <a:rPr lang="en-US" sz="1200" b="0" baseline="0"/>
            <a:t>- Accuarcy (-0.7%)</a:t>
          </a:r>
        </a:p>
        <a:p>
          <a:pPr algn="l"/>
          <a:r>
            <a:rPr lang="en-US" sz="1200" b="0" baseline="0"/>
            <a:t>- Macro Recall (-0.6%)</a:t>
          </a:r>
        </a:p>
        <a:p>
          <a:pPr algn="l"/>
          <a:r>
            <a:rPr lang="en-US" sz="1200" b="0" baseline="0"/>
            <a:t>- Error Rate (+0.7%)</a:t>
          </a:r>
          <a:endParaRPr lang="en-US" sz="1200" b="0" u="sng" baseline="0"/>
        </a:p>
        <a:p>
          <a:pPr algn="l"/>
          <a:endParaRPr lang="en-US" sz="1200" b="0" baseline="0"/>
        </a:p>
        <a:p>
          <a:pPr algn="l"/>
          <a:endParaRPr lang="en-US" sz="1200" b="0" baseline="0"/>
        </a:p>
        <a:p>
          <a:pPr algn="l"/>
          <a:endParaRPr lang="en-US" sz="1400" b="0"/>
        </a:p>
        <a:p>
          <a:pPr algn="l"/>
          <a:endParaRPr lang="en-US" sz="1400" b="0"/>
        </a:p>
      </xdr:txBody>
    </xdr:sp>
    <xdr:clientData/>
  </xdr:twoCellAnchor>
  <xdr:twoCellAnchor>
    <xdr:from>
      <xdr:col>10</xdr:col>
      <xdr:colOff>835025</xdr:colOff>
      <xdr:row>44</xdr:row>
      <xdr:rowOff>3175</xdr:rowOff>
    </xdr:from>
    <xdr:to>
      <xdr:col>17</xdr:col>
      <xdr:colOff>822325</xdr:colOff>
      <xdr:row>61</xdr:row>
      <xdr:rowOff>53975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7AA4D75-1087-6846-AA35-A919C8E01C46}"/>
            </a:ext>
            <a:ext uri="{147F2762-F138-4A5C-976F-8EAC2B608ADB}">
              <a16:predDERef xmlns:a16="http://schemas.microsoft.com/office/drawing/2014/main" pred="{55CD18A7-A130-1243-9407-B83CA880B1C7}"/>
            </a:ext>
          </a:extLst>
        </xdr:cNvPr>
        <xdr:cNvSpPr txBox="1"/>
      </xdr:nvSpPr>
      <xdr:spPr>
        <a:xfrm>
          <a:off x="9274175" y="8804275"/>
          <a:ext cx="5854700" cy="3451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Model Type : </a:t>
          </a:r>
        </a:p>
        <a:p>
          <a:pPr algn="l"/>
          <a:r>
            <a:rPr lang="en-US" sz="1200" b="0" u="sng"/>
            <a:t>Naive</a:t>
          </a:r>
          <a:r>
            <a:rPr lang="en-US" sz="1200" b="0" u="sng" baseline="0"/>
            <a:t> Bayes : </a:t>
          </a:r>
        </a:p>
        <a:p>
          <a:pPr algn="l"/>
          <a:r>
            <a:rPr lang="en-US" sz="1200" b="0" u="none" baseline="0"/>
            <a:t>- Best with Small and Medium</a:t>
          </a:r>
        </a:p>
        <a:p>
          <a:pPr algn="l"/>
          <a:r>
            <a:rPr lang="en-US" sz="1200" b="0" u="none" baseline="0"/>
            <a:t>- More featurwes increase noise</a:t>
          </a:r>
        </a:p>
        <a:p>
          <a:pPr algn="l"/>
          <a:r>
            <a:rPr lang="en-US" sz="1200" b="0" u="sng" baseline="0"/>
            <a:t>Neutral Networks : </a:t>
          </a:r>
        </a:p>
        <a:p>
          <a:pPr algn="l"/>
          <a:r>
            <a:rPr lang="en-US" sz="1200" b="0" u="none" baseline="0"/>
            <a:t>- Large data decreased accuracy and macro and increased error</a:t>
          </a:r>
        </a:p>
        <a:p>
          <a:pPr algn="l"/>
          <a:r>
            <a:rPr lang="en-US" sz="1200" b="0" u="sng" baseline="0"/>
            <a:t>Tree : </a:t>
          </a:r>
        </a:p>
        <a:p>
          <a:pPr algn="l"/>
          <a:r>
            <a:rPr lang="en-US" sz="1200" b="0" u="none" baseline="0"/>
            <a:t>- Overall similar </a:t>
          </a:r>
        </a:p>
        <a:p>
          <a:pPr algn="l"/>
          <a:r>
            <a:rPr lang="en-US" sz="1200" b="0" u="none" baseline="0"/>
            <a:t>- Varying Training times</a:t>
          </a:r>
        </a:p>
        <a:p>
          <a:pPr algn="l"/>
          <a:r>
            <a:rPr lang="en-US" sz="1200" b="0" u="sng" baseline="0"/>
            <a:t>SVM : </a:t>
          </a:r>
        </a:p>
        <a:p>
          <a:pPr algn="l"/>
          <a:r>
            <a:rPr lang="en-US" sz="1200" b="0" u="none" baseline="0"/>
            <a:t> - Large feature increased error</a:t>
          </a:r>
        </a:p>
        <a:p>
          <a:pPr algn="l"/>
          <a:endParaRPr lang="en-US" sz="1200" b="0" u="none" baseline="0"/>
        </a:p>
        <a:p>
          <a:pPr algn="l"/>
          <a:r>
            <a:rPr lang="en-US" sz="1200" b="0" u="none" baseline="0"/>
            <a:t>- more features did not drastically improve performance</a:t>
          </a:r>
        </a:p>
        <a:p>
          <a:pPr algn="l"/>
          <a:r>
            <a:rPr lang="en-US" sz="1200" b="0" u="none" baseline="0"/>
            <a:t>- medium feature set wqs most consistent and showed good growth from small feature set</a:t>
          </a:r>
        </a:p>
        <a:p>
          <a:pPr algn="l"/>
          <a:r>
            <a:rPr lang="en-US" sz="1200" b="0" u="none" baseline="0"/>
            <a:t>- going from medium to large decreased accuracy for all sets, and increased error rate, while decreasing macro</a:t>
          </a:r>
        </a:p>
        <a:p>
          <a:pPr algn="l"/>
          <a:endParaRPr lang="en-US" sz="1200" b="0" u="none" baseline="0"/>
        </a:p>
        <a:p>
          <a:pPr algn="l"/>
          <a:r>
            <a:rPr lang="en-US" sz="1200" b="0" u="none" baseline="0"/>
            <a:t>- best performing models did not have more features, but instead just the relevant ones</a:t>
          </a:r>
        </a:p>
      </xdr:txBody>
    </xdr:sp>
    <xdr:clientData/>
  </xdr:twoCellAnchor>
  <xdr:twoCellAnchor>
    <xdr:from>
      <xdr:col>30</xdr:col>
      <xdr:colOff>657225</xdr:colOff>
      <xdr:row>2</xdr:row>
      <xdr:rowOff>171450</xdr:rowOff>
    </xdr:from>
    <xdr:to>
      <xdr:col>38</xdr:col>
      <xdr:colOff>523875</xdr:colOff>
      <xdr:row>23</xdr:row>
      <xdr:rowOff>177800</xdr:rowOff>
    </xdr:to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F160CA05-21AA-F3FB-3A76-F29EEB55327D}"/>
            </a:ext>
            <a:ext uri="{147F2762-F138-4A5C-976F-8EAC2B608ADB}">
              <a16:predDERef xmlns:a16="http://schemas.microsoft.com/office/drawing/2014/main" pred="{97AA4D75-1087-6846-AA35-A919C8E01C46}"/>
            </a:ext>
          </a:extLst>
        </xdr:cNvPr>
        <xdr:cNvSpPr txBox="1"/>
      </xdr:nvSpPr>
      <xdr:spPr>
        <a:xfrm>
          <a:off x="25892125" y="565150"/>
          <a:ext cx="6572250" cy="4273550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TO DO: </a:t>
          </a:r>
        </a:p>
        <a:p>
          <a:pPr marL="0" indent="0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- Rankings of Each Model, ✅ </a:t>
          </a:r>
        </a:p>
        <a:p>
          <a:pPr marL="0" indent="0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- correct graph formatting, ✅ </a:t>
          </a:r>
        </a:p>
        <a:p>
          <a:pPr marL="0" indent="0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- sources for writing</a:t>
          </a:r>
        </a:p>
        <a:p>
          <a:pPr marL="0" indent="0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- bullet list for findings to submit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-Add model numbers to each table✅</a:t>
          </a:r>
          <a:endParaRPr lang="en-US" sz="1600" b="0" i="0" u="none" strike="noStrike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/>
          <a:endParaRPr lang="en-US" sz="16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21</xdr:col>
      <xdr:colOff>666750</xdr:colOff>
      <xdr:row>33</xdr:row>
      <xdr:rowOff>133350</xdr:rowOff>
    </xdr:from>
    <xdr:to>
      <xdr:col>30</xdr:col>
      <xdr:colOff>317500</xdr:colOff>
      <xdr:row>53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770C85-701B-6A3C-36F3-39A3E70A1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539750</xdr:colOff>
      <xdr:row>62</xdr:row>
      <xdr:rowOff>31750</xdr:rowOff>
    </xdr:from>
    <xdr:to>
      <xdr:col>21</xdr:col>
      <xdr:colOff>82550</xdr:colOff>
      <xdr:row>75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0FAC2B-6EAE-3091-802F-4B07E9C00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61</xdr:row>
      <xdr:rowOff>82550</xdr:rowOff>
    </xdr:from>
    <xdr:to>
      <xdr:col>14</xdr:col>
      <xdr:colOff>19050</xdr:colOff>
      <xdr:row>74</xdr:row>
      <xdr:rowOff>184150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7ECBAB-4887-7AD7-F700-03943DF60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349250</xdr:colOff>
      <xdr:row>60</xdr:row>
      <xdr:rowOff>171450</xdr:rowOff>
    </xdr:from>
    <xdr:to>
      <xdr:col>8</xdr:col>
      <xdr:colOff>50800</xdr:colOff>
      <xdr:row>75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26611A7-3605-7EC5-213E-6955E5D1E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793750</xdr:colOff>
      <xdr:row>58</xdr:row>
      <xdr:rowOff>196850</xdr:rowOff>
    </xdr:from>
    <xdr:to>
      <xdr:col>27</xdr:col>
      <xdr:colOff>298450</xdr:colOff>
      <xdr:row>72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10AC41B-542E-1163-DDC8-B88E0F847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26</xdr:row>
      <xdr:rowOff>139700</xdr:rowOff>
    </xdr:from>
    <xdr:to>
      <xdr:col>51</xdr:col>
      <xdr:colOff>190500</xdr:colOff>
      <xdr:row>65</xdr:row>
      <xdr:rowOff>114300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D64A03D-522B-4F33-D587-57A6668EEEEA}"/>
            </a:ext>
          </a:extLst>
        </xdr:cNvPr>
        <xdr:cNvSpPr txBox="1"/>
      </xdr:nvSpPr>
      <xdr:spPr>
        <a:xfrm>
          <a:off x="31940500" y="5410200"/>
          <a:ext cx="11087100" cy="78994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/>
            <a:t>Takeways</a:t>
          </a:r>
          <a:r>
            <a:rPr lang="en-US" sz="1800" baseline="0"/>
            <a:t> : </a:t>
          </a:r>
        </a:p>
        <a:p>
          <a:pPr algn="l"/>
          <a:r>
            <a:rPr lang="en-US" sz="1800" baseline="0"/>
            <a:t>- Model 2.7 was strongest performer, reciveing 87% and 86% on small and medium respectively</a:t>
          </a:r>
        </a:p>
        <a:p>
          <a:pPr algn="l"/>
          <a:r>
            <a:rPr lang="en-US" sz="1800" baseline="0"/>
            <a:t>- Model 2.2 was best with large feature set</a:t>
          </a:r>
        </a:p>
        <a:p>
          <a:pPr algn="l"/>
          <a:r>
            <a:rPr lang="en-US" sz="1800" baseline="0"/>
            <a:t>- Increasing the number of predictors did not helop much, meaning the first 10 predictors contain the majority of the predidtive signs</a:t>
          </a:r>
        </a:p>
        <a:p>
          <a:pPr algn="l"/>
          <a:r>
            <a:rPr lang="en-US" sz="1800" baseline="0"/>
            <a:t>- Model 2.12 showed performance drop when moving from 10 features to 25 (86-73). This model is likely sensitive to noise or has an overfitting risk</a:t>
          </a:r>
        </a:p>
        <a:p>
          <a:pPr algn="l"/>
          <a:r>
            <a:rPr lang="en-US" sz="1800" baseline="0"/>
            <a:t>- Neutral Networks have fast trainin g times, and achieve good accuracy results</a:t>
          </a:r>
        </a:p>
        <a:p>
          <a:pPr algn="l"/>
          <a:r>
            <a:rPr lang="en-US" sz="1800" baseline="0"/>
            <a:t>- Naive Bayes is overall best, highest average accuracy and always reliable resultds</a:t>
          </a:r>
        </a:p>
        <a:p>
          <a:pPr algn="l"/>
          <a:r>
            <a:rPr lang="en-US" sz="1800" baseline="0"/>
            <a:t>- SVM models were inconsistent, model 2.9 has 15% jumpo in accuracy but model 2.12 dropped</a:t>
          </a:r>
        </a:p>
        <a:p>
          <a:pPr algn="l"/>
          <a:r>
            <a:rPr lang="en-US" sz="1800" baseline="0"/>
            <a:t>- 2.3 took almost 9 minutes to train on the smallest dataset, but was lower in accuracy than naive bayes which trained in under 15 seconds</a:t>
          </a:r>
        </a:p>
        <a:p>
          <a:pPr algn="l"/>
          <a:endParaRPr lang="en-US" sz="1800" baseline="0"/>
        </a:p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chrome-extension://efaidnbmnnnibpcajpcglclefindmkaj/</a:t>
          </a:r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https://www.scitepress.org/Papers/2021/107171/107171.pdf</a:t>
          </a:r>
          <a:endParaRPr lang="en-US" sz="1800" b="0">
            <a:effectLst/>
          </a:endParaRPr>
        </a:p>
        <a:p>
          <a:pPr rtl="0"/>
          <a:br>
            <a:rPr lang="en-US" sz="1800" b="0">
              <a:effectLst/>
            </a:rPr>
          </a:br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https://www.thieme-connect.com/products/ejournals/html/10.1055/a-1231-5304?casa_token=LOyeH22a56AAAAAA:2KXz42Lf4Yfy4-8ay7iBHc88wvdQcBOmGZDPnuzeZ4q-080MdPMWCRXzWug14F3lsPx6qHK6LzFiup0</a:t>
          </a:r>
          <a:endParaRPr lang="en-US" sz="1800" b="0">
            <a:effectLst/>
          </a:endParaRPr>
        </a:p>
        <a:p>
          <a:pPr rtl="0"/>
          <a:br>
            <a:rPr lang="en-US" sz="1800" b="0">
              <a:effectLst/>
            </a:rPr>
          </a:br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https://www.mdpi.com/2075-4663/10/1/5</a:t>
          </a:r>
          <a:endParaRPr lang="en-US" sz="1800" b="0">
            <a:effectLst/>
          </a:endParaRPr>
        </a:p>
        <a:p>
          <a:pPr rtl="0"/>
          <a:br>
            <a:rPr lang="en-US" sz="1800" b="0">
              <a:effectLst/>
            </a:rPr>
          </a:br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https://journals.sagepub.com/doi/full/10.1177/00368504251385956</a:t>
          </a:r>
          <a:endParaRPr lang="en-US" sz="1800" b="0">
            <a:effectLst/>
          </a:endParaRPr>
        </a:p>
        <a:p>
          <a:pPr rtl="0"/>
          <a:br>
            <a:rPr lang="en-US" sz="1800" b="0">
              <a:effectLst/>
            </a:rPr>
          </a:b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chrome-extension://efaidnbmnnnibpcajpcglclefindmkaj/</a:t>
          </a:r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https://www.cureus.com/articles/177498-an-overview-of-machine-learning-applications-in-sports-injury-prediction.pdf</a:t>
          </a:r>
          <a:endParaRPr lang="en-US" sz="1800" b="0">
            <a:effectLst/>
          </a:endParaRPr>
        </a:p>
        <a:p>
          <a:pPr rtl="0"/>
          <a:br>
            <a:rPr lang="en-US" sz="1800" b="0">
              <a:effectLst/>
            </a:rPr>
          </a:br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https://www.sciencedirect.com/science/article/pii/S1877065721001433</a:t>
          </a:r>
          <a:endParaRPr lang="en-US" sz="1800" b="0">
            <a:effectLst/>
          </a:endParaRPr>
        </a:p>
        <a:p>
          <a:pPr rtl="0"/>
          <a:br>
            <a:rPr lang="en-US" sz="1800" b="0">
              <a:effectLst/>
            </a:rPr>
          </a:br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https://www.mdpi.com/2075-4663/10/10/160</a:t>
          </a:r>
          <a:endParaRPr lang="en-US" sz="1800" b="0">
            <a:effectLst/>
          </a:endParaRPr>
        </a:p>
        <a:p>
          <a:pPr rtl="0"/>
          <a:br>
            <a:rPr lang="en-US" sz="1800" b="0">
              <a:effectLst/>
            </a:rPr>
          </a:br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https://link.springer.com/article/10.1186/s13102-025-01502-x</a:t>
          </a:r>
          <a:endParaRPr lang="en-US" sz="1800" b="0">
            <a:effectLst/>
          </a:endParaRPr>
        </a:p>
        <a:p>
          <a:br>
            <a:rPr lang="en-US" sz="1800" b="0">
              <a:effectLst/>
            </a:rPr>
          </a:b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chrome-extension://efaidnbmnnnibpcajpcglclefindmkaj/</a:t>
          </a:r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https://www.cureus.com/articles/177498-an-overview-of-machine-learning-applications-in-sports-injury-prediction.pdf</a:t>
          </a:r>
          <a:endParaRPr lang="en-US" sz="1800" baseline="0"/>
        </a:p>
      </xdr:txBody>
    </xdr:sp>
    <xdr:clientData/>
  </xdr:twoCellAnchor>
  <xdr:twoCellAnchor>
    <xdr:from>
      <xdr:col>73</xdr:col>
      <xdr:colOff>209550</xdr:colOff>
      <xdr:row>28</xdr:row>
      <xdr:rowOff>165100</xdr:rowOff>
    </xdr:from>
    <xdr:to>
      <xdr:col>87</xdr:col>
      <xdr:colOff>317500</xdr:colOff>
      <xdr:row>50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D2DA769-05C4-A26A-4D9E-F409E6AB8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190500</xdr:colOff>
      <xdr:row>81</xdr:row>
      <xdr:rowOff>107950</xdr:rowOff>
    </xdr:from>
    <xdr:to>
      <xdr:col>16</xdr:col>
      <xdr:colOff>114300</xdr:colOff>
      <xdr:row>100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ED01FB2-63D4-DE67-EDDF-DA4A50879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184150</xdr:colOff>
      <xdr:row>103</xdr:row>
      <xdr:rowOff>133350</xdr:rowOff>
    </xdr:from>
    <xdr:to>
      <xdr:col>20</xdr:col>
      <xdr:colOff>558800</xdr:colOff>
      <xdr:row>121</xdr:row>
      <xdr:rowOff>127000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18A64ED-41A8-36AB-F2F9-C8AD75B2C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812800</xdr:colOff>
      <xdr:row>77</xdr:row>
      <xdr:rowOff>63500</xdr:rowOff>
    </xdr:from>
    <xdr:to>
      <xdr:col>22</xdr:col>
      <xdr:colOff>355600</xdr:colOff>
      <xdr:row>102</xdr:row>
      <xdr:rowOff>25400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CBB9817-79C0-E340-9E3A-D9450F92C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698500</xdr:colOff>
      <xdr:row>77</xdr:row>
      <xdr:rowOff>63500</xdr:rowOff>
    </xdr:from>
    <xdr:to>
      <xdr:col>28</xdr:col>
      <xdr:colOff>203200</xdr:colOff>
      <xdr:row>102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90F0D3B-0B6F-A64F-80E7-FF888A837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495300</xdr:colOff>
      <xdr:row>77</xdr:row>
      <xdr:rowOff>63500</xdr:rowOff>
    </xdr:from>
    <xdr:to>
      <xdr:col>34</xdr:col>
      <xdr:colOff>196850</xdr:colOff>
      <xdr:row>102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FEABBD3-A3E9-3644-BD25-8159094AD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FCD39-9E4B-1D4C-AB61-0D05A6A8C4E8}" name="Table1" displayName="Table1" ref="A1:F29" totalsRowShown="0" headerRowDxfId="7" dataDxfId="6">
  <autoFilter ref="A1:F29" xr:uid="{E34FCD39-9E4B-1D4C-AB61-0D05A6A8C4E8}"/>
  <tableColumns count="6">
    <tableColumn id="1" xr3:uid="{A3F52EC6-58DE-DE4D-8434-4AD01C7CB8FC}" name="Feature Name" dataDxfId="5"/>
    <tableColumn id="2" xr3:uid="{C361AF8D-ADAB-5B42-BDCA-E6452A3555BD}" name="MRMR" dataDxfId="4"/>
    <tableColumn id="3" xr3:uid="{7A54CC7D-E17D-634C-82AC-0F1119169A54}" name="Anova" dataDxfId="3"/>
    <tableColumn id="4" xr3:uid="{AD358618-1A87-1248-9CB9-ABC73D2CA40C}" name="Chi2" dataDxfId="2"/>
    <tableColumn id="5" xr3:uid="{93DEFC43-94D3-6B46-AC00-E90A31A53B3C}" name="Kruskal Wallis" dataDxfId="1"/>
    <tableColumn id="6" xr3:uid="{B80F3E50-2AC0-3F41-883E-754390954DF2}" name="Average Scor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64E7-AB51-5A4B-B240-727C1B2546E3}">
  <dimension ref="A1:AL33"/>
  <sheetViews>
    <sheetView workbookViewId="0">
      <selection activeCell="E9" sqref="E9"/>
    </sheetView>
  </sheetViews>
  <sheetFormatPr baseColWidth="10" defaultColWidth="11" defaultRowHeight="16" x14ac:dyDescent="0.2"/>
  <sheetData>
    <row r="1" spans="1:38" x14ac:dyDescent="0.2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x14ac:dyDescent="0.2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x14ac:dyDescent="0.2">
      <c r="A3" s="1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2">
      <c r="A4" s="1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x14ac:dyDescent="0.2">
      <c r="A5" s="1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x14ac:dyDescent="0.2">
      <c r="A6" s="1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x14ac:dyDescent="0.2">
      <c r="A9" s="1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  <c r="K9" s="2" t="s">
        <v>16</v>
      </c>
      <c r="L9" s="2" t="s">
        <v>17</v>
      </c>
      <c r="M9" s="2" t="s">
        <v>18</v>
      </c>
      <c r="N9" s="2" t="s">
        <v>19</v>
      </c>
      <c r="O9" s="2" t="s">
        <v>20</v>
      </c>
      <c r="P9" s="2" t="s">
        <v>21</v>
      </c>
      <c r="Q9" s="2" t="s">
        <v>22</v>
      </c>
      <c r="R9" s="2" t="s">
        <v>23</v>
      </c>
      <c r="S9" s="2" t="s">
        <v>24</v>
      </c>
      <c r="T9" s="2" t="s">
        <v>25</v>
      </c>
      <c r="U9" s="2" t="s">
        <v>26</v>
      </c>
      <c r="V9" s="2" t="s">
        <v>27</v>
      </c>
      <c r="W9" s="2" t="s">
        <v>28</v>
      </c>
      <c r="X9" s="2" t="s">
        <v>29</v>
      </c>
      <c r="Y9" s="2" t="s">
        <v>30</v>
      </c>
      <c r="Z9" s="2" t="s">
        <v>31</v>
      </c>
      <c r="AA9" s="2" t="s">
        <v>32</v>
      </c>
      <c r="AB9" s="2" t="s">
        <v>33</v>
      </c>
      <c r="AC9" s="2" t="s">
        <v>34</v>
      </c>
      <c r="AD9" s="2" t="s">
        <v>35</v>
      </c>
      <c r="AE9" s="2" t="s">
        <v>36</v>
      </c>
      <c r="AF9" s="2" t="s">
        <v>37</v>
      </c>
      <c r="AG9" s="2" t="s">
        <v>38</v>
      </c>
      <c r="AH9" s="2" t="s">
        <v>39</v>
      </c>
      <c r="AI9" s="2" t="s">
        <v>40</v>
      </c>
      <c r="AJ9" s="2" t="s">
        <v>41</v>
      </c>
      <c r="AK9" s="2" t="s">
        <v>42</v>
      </c>
      <c r="AL9" s="2" t="s">
        <v>43</v>
      </c>
    </row>
    <row r="10" spans="1:38" x14ac:dyDescent="0.2">
      <c r="A10" s="1">
        <v>0</v>
      </c>
      <c r="B10" s="2">
        <v>2.1</v>
      </c>
      <c r="C10" s="2" t="s">
        <v>44</v>
      </c>
      <c r="D10" s="2" t="s">
        <v>45</v>
      </c>
      <c r="E10" s="2">
        <v>85.101663585951897</v>
      </c>
      <c r="F10" s="2">
        <v>1612</v>
      </c>
      <c r="G10" s="2">
        <v>14.898336414048099</v>
      </c>
      <c r="H10" s="2">
        <v>68.839285714285694</v>
      </c>
      <c r="I10" s="2">
        <v>85.101663585951897</v>
      </c>
      <c r="J10" s="2">
        <v>82.065091101135494</v>
      </c>
      <c r="K10" s="2">
        <v>59.467304296835401</v>
      </c>
      <c r="L10" s="2">
        <v>85.101663585951897</v>
      </c>
      <c r="M10" s="2">
        <v>85.101663585951897</v>
      </c>
      <c r="N10" s="2">
        <v>61.552528518665902</v>
      </c>
      <c r="O10" s="2">
        <v>85.101663585951897</v>
      </c>
      <c r="P10" s="2">
        <v>82.676669989037293</v>
      </c>
      <c r="Q10" s="2">
        <v>85.070717653221607</v>
      </c>
      <c r="R10" s="2">
        <v>285</v>
      </c>
      <c r="S10" s="2">
        <v>14.9292823467784</v>
      </c>
      <c r="T10" s="2">
        <v>68.674642687800599</v>
      </c>
      <c r="U10" s="2">
        <v>85.070717653221607</v>
      </c>
      <c r="V10" s="2">
        <v>82.056953417337695</v>
      </c>
      <c r="W10" s="2">
        <v>59.558179848320698</v>
      </c>
      <c r="X10" s="2">
        <v>85.070717653221607</v>
      </c>
      <c r="Y10" s="2">
        <v>85.070717653221607</v>
      </c>
      <c r="Z10" s="2">
        <v>61.637393995418201</v>
      </c>
      <c r="AA10" s="2">
        <v>85.070717653221607</v>
      </c>
      <c r="AB10" s="2">
        <v>82.699114521634201</v>
      </c>
      <c r="AC10" s="2">
        <v>646510.51625238999</v>
      </c>
      <c r="AD10" s="2">
        <v>3.4369160000000001</v>
      </c>
      <c r="AE10" s="2">
        <v>31503</v>
      </c>
      <c r="AF10" s="2">
        <v>21654</v>
      </c>
      <c r="AG10" s="2" t="s">
        <v>46</v>
      </c>
      <c r="AH10" s="3">
        <v>46305</v>
      </c>
      <c r="AI10" s="2" t="s">
        <v>47</v>
      </c>
      <c r="AJ10" s="2" t="s">
        <v>48</v>
      </c>
      <c r="AK10" s="2" t="s">
        <v>49</v>
      </c>
      <c r="AL10" s="2" t="s">
        <v>50</v>
      </c>
    </row>
    <row r="11" spans="1:38" x14ac:dyDescent="0.2">
      <c r="A11" s="1">
        <v>0</v>
      </c>
      <c r="B11" s="2">
        <v>2.1</v>
      </c>
      <c r="C11" s="2" t="s">
        <v>44</v>
      </c>
      <c r="D11" s="2" t="s">
        <v>51</v>
      </c>
      <c r="E11" s="2">
        <v>85.101663585951897</v>
      </c>
      <c r="F11" s="2">
        <v>1612</v>
      </c>
      <c r="G11" s="2">
        <v>14.898336414048099</v>
      </c>
      <c r="H11" s="2" t="s">
        <v>52</v>
      </c>
      <c r="I11" s="2">
        <v>85.101663585951897</v>
      </c>
      <c r="J11" s="2" t="s">
        <v>52</v>
      </c>
      <c r="K11" s="2">
        <v>50</v>
      </c>
      <c r="L11" s="2">
        <v>85.101663585951897</v>
      </c>
      <c r="M11" s="2">
        <v>85.101663585951897</v>
      </c>
      <c r="N11" s="2">
        <v>45.975634112242901</v>
      </c>
      <c r="O11" s="2">
        <v>85.101663585951897</v>
      </c>
      <c r="P11" s="2">
        <v>78.252058947418206</v>
      </c>
      <c r="Q11" s="2">
        <v>85.123101100052395</v>
      </c>
      <c r="R11" s="2">
        <v>284</v>
      </c>
      <c r="S11" s="2">
        <v>14.8768988999476</v>
      </c>
      <c r="T11" s="2" t="s">
        <v>52</v>
      </c>
      <c r="U11" s="2">
        <v>85.123101100052395</v>
      </c>
      <c r="V11" s="2" t="s">
        <v>52</v>
      </c>
      <c r="W11" s="2">
        <v>50</v>
      </c>
      <c r="X11" s="2">
        <v>85.123101100052395</v>
      </c>
      <c r="Y11" s="2">
        <v>85.123101100052395</v>
      </c>
      <c r="Z11" s="2">
        <v>45.9818902093945</v>
      </c>
      <c r="AA11" s="2">
        <v>85.123101100052395</v>
      </c>
      <c r="AB11" s="2">
        <v>78.282421781315904</v>
      </c>
      <c r="AC11" s="2">
        <v>13464.075060351901</v>
      </c>
      <c r="AD11" s="2">
        <v>66.544573999999997</v>
      </c>
      <c r="AE11" s="2">
        <v>510603</v>
      </c>
      <c r="AF11" s="2">
        <v>508610</v>
      </c>
      <c r="AG11" s="2" t="s">
        <v>53</v>
      </c>
      <c r="AH11" s="3">
        <v>46305</v>
      </c>
      <c r="AI11" s="2" t="s">
        <v>47</v>
      </c>
      <c r="AJ11" s="2" t="s">
        <v>48</v>
      </c>
      <c r="AK11" s="2" t="s">
        <v>49</v>
      </c>
      <c r="AL11" s="2" t="s">
        <v>50</v>
      </c>
    </row>
    <row r="12" spans="1:38" x14ac:dyDescent="0.2">
      <c r="A12" s="1">
        <v>0</v>
      </c>
      <c r="B12" s="2">
        <v>2.11</v>
      </c>
      <c r="C12" s="2" t="s">
        <v>44</v>
      </c>
      <c r="D12" s="2" t="s">
        <v>51</v>
      </c>
      <c r="E12" s="2">
        <v>85.536044362292003</v>
      </c>
      <c r="F12" s="2">
        <v>1565</v>
      </c>
      <c r="G12" s="2">
        <v>14.463955637707899</v>
      </c>
      <c r="H12" s="2">
        <v>75.496725798889997</v>
      </c>
      <c r="I12" s="2">
        <v>85.536044362292003</v>
      </c>
      <c r="J12" s="2">
        <v>82.752545380964406</v>
      </c>
      <c r="K12" s="2">
        <v>52.839531058330998</v>
      </c>
      <c r="L12" s="2">
        <v>85.536044362292003</v>
      </c>
      <c r="M12" s="2">
        <v>85.536044362292003</v>
      </c>
      <c r="N12" s="2">
        <v>51.778399514904898</v>
      </c>
      <c r="O12" s="2">
        <v>85.536044362292003</v>
      </c>
      <c r="P12" s="2">
        <v>80.103051040449202</v>
      </c>
      <c r="Q12" s="2">
        <v>85.646935568360405</v>
      </c>
      <c r="R12" s="2">
        <v>274</v>
      </c>
      <c r="S12" s="2">
        <v>14.3530644316396</v>
      </c>
      <c r="T12" s="2">
        <v>76.308320028383903</v>
      </c>
      <c r="U12" s="2">
        <v>85.646935568360405</v>
      </c>
      <c r="V12" s="2">
        <v>83.081215344289006</v>
      </c>
      <c r="W12" s="2">
        <v>53.213434452871098</v>
      </c>
      <c r="X12" s="2">
        <v>85.646935568360405</v>
      </c>
      <c r="Y12" s="2">
        <v>85.646935568360405</v>
      </c>
      <c r="Z12" s="2">
        <v>52.4596093999942</v>
      </c>
      <c r="AA12" s="2">
        <v>85.646935568360405</v>
      </c>
      <c r="AB12" s="2">
        <v>80.361931902677</v>
      </c>
      <c r="AC12" s="2">
        <v>273598.50304700702</v>
      </c>
      <c r="AD12" s="2">
        <v>583.30040399999996</v>
      </c>
      <c r="AE12" s="2">
        <v>445203</v>
      </c>
      <c r="AF12" s="2">
        <v>443210</v>
      </c>
      <c r="AG12" s="2" t="s">
        <v>54</v>
      </c>
      <c r="AH12" s="3">
        <v>46305</v>
      </c>
      <c r="AI12" s="2" t="s">
        <v>47</v>
      </c>
      <c r="AJ12" s="2" t="s">
        <v>48</v>
      </c>
      <c r="AK12" s="2" t="s">
        <v>49</v>
      </c>
      <c r="AL12" s="2" t="s">
        <v>50</v>
      </c>
    </row>
    <row r="13" spans="1:38" x14ac:dyDescent="0.2">
      <c r="A13" s="1">
        <v>0</v>
      </c>
      <c r="B13" s="2">
        <v>2.12</v>
      </c>
      <c r="C13" s="2" t="s">
        <v>44</v>
      </c>
      <c r="D13" s="2" t="s">
        <v>51</v>
      </c>
      <c r="E13" s="2">
        <v>85.101663585951897</v>
      </c>
      <c r="F13" s="2">
        <v>1612</v>
      </c>
      <c r="G13" s="2">
        <v>14.898336414048099</v>
      </c>
      <c r="H13" s="2" t="s">
        <v>52</v>
      </c>
      <c r="I13" s="2">
        <v>85.101663585951897</v>
      </c>
      <c r="J13" s="2" t="s">
        <v>52</v>
      </c>
      <c r="K13" s="2">
        <v>50</v>
      </c>
      <c r="L13" s="2">
        <v>85.101663585951897</v>
      </c>
      <c r="M13" s="2">
        <v>85.101663585951897</v>
      </c>
      <c r="N13" s="2">
        <v>45.975634112242901</v>
      </c>
      <c r="O13" s="2">
        <v>85.101663585951897</v>
      </c>
      <c r="P13" s="2">
        <v>78.252058947418206</v>
      </c>
      <c r="Q13" s="2">
        <v>85.123101100052395</v>
      </c>
      <c r="R13" s="2">
        <v>284</v>
      </c>
      <c r="S13" s="2">
        <v>14.8768988999476</v>
      </c>
      <c r="T13" s="2" t="s">
        <v>52</v>
      </c>
      <c r="U13" s="2">
        <v>85.123101100052395</v>
      </c>
      <c r="V13" s="2" t="s">
        <v>52</v>
      </c>
      <c r="W13" s="2">
        <v>50</v>
      </c>
      <c r="X13" s="2">
        <v>85.123101100052395</v>
      </c>
      <c r="Y13" s="2">
        <v>85.123101100052395</v>
      </c>
      <c r="Z13" s="2">
        <v>45.9818902093945</v>
      </c>
      <c r="AA13" s="2">
        <v>85.123101100052395</v>
      </c>
      <c r="AB13" s="2">
        <v>78.282421781315904</v>
      </c>
      <c r="AC13" s="2">
        <v>4724.5194700853199</v>
      </c>
      <c r="AD13" s="2">
        <v>44.586241000000001</v>
      </c>
      <c r="AE13" s="2">
        <v>1298639</v>
      </c>
      <c r="AF13" s="2">
        <v>1296650</v>
      </c>
      <c r="AG13" s="2" t="s">
        <v>55</v>
      </c>
      <c r="AH13" s="3">
        <v>46305</v>
      </c>
      <c r="AI13" s="2" t="s">
        <v>47</v>
      </c>
      <c r="AJ13" s="2" t="s">
        <v>48</v>
      </c>
      <c r="AK13" s="2" t="s">
        <v>49</v>
      </c>
      <c r="AL13" s="2" t="s">
        <v>50</v>
      </c>
    </row>
    <row r="14" spans="1:38" x14ac:dyDescent="0.2">
      <c r="A14" s="1">
        <v>0</v>
      </c>
      <c r="B14" s="2">
        <v>2.13</v>
      </c>
      <c r="C14" s="2" t="s">
        <v>44</v>
      </c>
      <c r="D14" s="2" t="s">
        <v>51</v>
      </c>
      <c r="E14" s="2">
        <v>85.388170055452903</v>
      </c>
      <c r="F14" s="2">
        <v>1581</v>
      </c>
      <c r="G14" s="2">
        <v>14.6118299445471</v>
      </c>
      <c r="H14" s="2">
        <v>75.936449515396902</v>
      </c>
      <c r="I14" s="2">
        <v>85.388170055452903</v>
      </c>
      <c r="J14" s="2">
        <v>82.690472960576997</v>
      </c>
      <c r="K14" s="2">
        <v>51.7803323466702</v>
      </c>
      <c r="L14" s="2">
        <v>85.388170055452903</v>
      </c>
      <c r="M14" s="2">
        <v>85.388170055452804</v>
      </c>
      <c r="N14" s="2">
        <v>49.724900031978798</v>
      </c>
      <c r="O14" s="2">
        <v>85.388170055452903</v>
      </c>
      <c r="P14" s="2">
        <v>79.451466376575397</v>
      </c>
      <c r="Q14" s="2">
        <v>85.437401781037195</v>
      </c>
      <c r="R14" s="2">
        <v>278</v>
      </c>
      <c r="S14" s="2">
        <v>14.562598218962799</v>
      </c>
      <c r="T14" s="2">
        <v>73.652926998651907</v>
      </c>
      <c r="U14" s="2">
        <v>85.437401781037195</v>
      </c>
      <c r="V14" s="2">
        <v>82.1628789012791</v>
      </c>
      <c r="W14" s="2">
        <v>52.509209100758397</v>
      </c>
      <c r="X14" s="2">
        <v>85.437401781037195</v>
      </c>
      <c r="Y14" s="2">
        <v>85.437401781037195</v>
      </c>
      <c r="Z14" s="2">
        <v>51.198918600801903</v>
      </c>
      <c r="AA14" s="2">
        <v>85.437401781037195</v>
      </c>
      <c r="AB14" s="2">
        <v>79.912993613119298</v>
      </c>
      <c r="AC14" s="2">
        <v>7379.66608716054</v>
      </c>
      <c r="AD14" s="2">
        <v>39.690313000000003</v>
      </c>
      <c r="AE14" s="2">
        <v>492959</v>
      </c>
      <c r="AF14" s="2">
        <v>490970</v>
      </c>
      <c r="AG14" s="2" t="s">
        <v>56</v>
      </c>
      <c r="AH14" s="3">
        <v>46305</v>
      </c>
      <c r="AI14" s="2" t="s">
        <v>47</v>
      </c>
      <c r="AJ14" s="2" t="s">
        <v>48</v>
      </c>
      <c r="AK14" s="2" t="s">
        <v>49</v>
      </c>
      <c r="AL14" s="2" t="s">
        <v>50</v>
      </c>
    </row>
    <row r="15" spans="1:38" x14ac:dyDescent="0.2">
      <c r="A15" s="1">
        <v>0</v>
      </c>
      <c r="B15" s="2">
        <v>2.14</v>
      </c>
      <c r="C15" s="2" t="s">
        <v>44</v>
      </c>
      <c r="D15" s="2" t="s">
        <v>51</v>
      </c>
      <c r="E15" s="2">
        <v>85.101663585951897</v>
      </c>
      <c r="F15" s="2">
        <v>1612</v>
      </c>
      <c r="G15" s="2">
        <v>14.898336414048099</v>
      </c>
      <c r="H15" s="2" t="s">
        <v>52</v>
      </c>
      <c r="I15" s="2">
        <v>85.101663585951897</v>
      </c>
      <c r="J15" s="2" t="s">
        <v>52</v>
      </c>
      <c r="K15" s="2">
        <v>50</v>
      </c>
      <c r="L15" s="2">
        <v>85.101663585951897</v>
      </c>
      <c r="M15" s="2">
        <v>85.101663585951897</v>
      </c>
      <c r="N15" s="2">
        <v>45.975634112242901</v>
      </c>
      <c r="O15" s="2">
        <v>85.101663585951897</v>
      </c>
      <c r="P15" s="2">
        <v>78.252058947418206</v>
      </c>
      <c r="Q15" s="2">
        <v>85.123101100052395</v>
      </c>
      <c r="R15" s="2">
        <v>284</v>
      </c>
      <c r="S15" s="2">
        <v>14.8768988999476</v>
      </c>
      <c r="T15" s="2" t="s">
        <v>52</v>
      </c>
      <c r="U15" s="2">
        <v>85.123101100052395</v>
      </c>
      <c r="V15" s="2" t="s">
        <v>52</v>
      </c>
      <c r="W15" s="2">
        <v>50</v>
      </c>
      <c r="X15" s="2">
        <v>85.123101100052395</v>
      </c>
      <c r="Y15" s="2">
        <v>85.123101100052395</v>
      </c>
      <c r="Z15" s="2">
        <v>45.9818902093945</v>
      </c>
      <c r="AA15" s="2">
        <v>85.123101100052395</v>
      </c>
      <c r="AB15" s="2">
        <v>78.282421781315904</v>
      </c>
      <c r="AC15" s="2">
        <v>7552.7646469187202</v>
      </c>
      <c r="AD15" s="2">
        <v>34.587560000000003</v>
      </c>
      <c r="AE15" s="2">
        <v>451079</v>
      </c>
      <c r="AF15" s="2">
        <v>449090</v>
      </c>
      <c r="AG15" s="2" t="s">
        <v>57</v>
      </c>
      <c r="AH15" s="3">
        <v>46305</v>
      </c>
      <c r="AI15" s="2" t="s">
        <v>47</v>
      </c>
      <c r="AJ15" s="2" t="s">
        <v>48</v>
      </c>
      <c r="AK15" s="2" t="s">
        <v>49</v>
      </c>
      <c r="AL15" s="2" t="s">
        <v>50</v>
      </c>
    </row>
    <row r="16" spans="1:38" x14ac:dyDescent="0.2">
      <c r="A16" s="1">
        <v>0</v>
      </c>
      <c r="B16" s="2">
        <v>2.15</v>
      </c>
      <c r="C16" s="2" t="s">
        <v>44</v>
      </c>
      <c r="D16" s="2" t="s">
        <v>58</v>
      </c>
      <c r="E16" s="2">
        <v>86.090573012939004</v>
      </c>
      <c r="F16" s="2">
        <v>1505</v>
      </c>
      <c r="G16" s="2">
        <v>13.909426987061</v>
      </c>
      <c r="H16" s="2">
        <v>74.981369635961599</v>
      </c>
      <c r="I16" s="2">
        <v>86.090573012939004</v>
      </c>
      <c r="J16" s="2">
        <v>83.424986691346902</v>
      </c>
      <c r="K16" s="2">
        <v>57.233716824079998</v>
      </c>
      <c r="L16" s="2">
        <v>86.090573012939004</v>
      </c>
      <c r="M16" s="2">
        <v>86.090573012939004</v>
      </c>
      <c r="N16" s="2">
        <v>59.0031564404918</v>
      </c>
      <c r="O16" s="2">
        <v>86.090573012939004</v>
      </c>
      <c r="P16" s="2">
        <v>82.397814346609906</v>
      </c>
      <c r="Q16" s="2">
        <v>86.380303823991596</v>
      </c>
      <c r="R16" s="2">
        <v>260</v>
      </c>
      <c r="S16" s="2">
        <v>13.6196961760084</v>
      </c>
      <c r="T16" s="2">
        <v>77.870934959349597</v>
      </c>
      <c r="U16" s="2">
        <v>86.380303823991596</v>
      </c>
      <c r="V16" s="2">
        <v>84.278045373434395</v>
      </c>
      <c r="W16" s="2">
        <v>57.131094257854798</v>
      </c>
      <c r="X16" s="2">
        <v>86.380303823991596</v>
      </c>
      <c r="Y16" s="2">
        <v>86.380303823991596</v>
      </c>
      <c r="Z16" s="2">
        <v>58.897280466395003</v>
      </c>
      <c r="AA16" s="2">
        <v>86.380303823991596</v>
      </c>
      <c r="AB16" s="2">
        <v>82.506975740281703</v>
      </c>
      <c r="AC16" s="2">
        <v>26964.119280092898</v>
      </c>
      <c r="AD16" s="2">
        <v>15.428371</v>
      </c>
      <c r="AE16" s="2">
        <v>311092</v>
      </c>
      <c r="AF16" s="2">
        <v>138569</v>
      </c>
      <c r="AG16" s="2" t="s">
        <v>59</v>
      </c>
      <c r="AH16" s="3">
        <v>46305</v>
      </c>
      <c r="AI16" s="2" t="s">
        <v>47</v>
      </c>
      <c r="AJ16" s="2" t="s">
        <v>48</v>
      </c>
      <c r="AK16" s="2" t="s">
        <v>49</v>
      </c>
      <c r="AL16" s="2" t="s">
        <v>50</v>
      </c>
    </row>
    <row r="17" spans="1:38" x14ac:dyDescent="0.2">
      <c r="A17" s="1">
        <v>0</v>
      </c>
      <c r="B17" s="2">
        <v>2.16</v>
      </c>
      <c r="C17" s="2" t="s">
        <v>44</v>
      </c>
      <c r="D17" s="2" t="s">
        <v>58</v>
      </c>
      <c r="E17" s="2">
        <v>85.720887245840999</v>
      </c>
      <c r="F17" s="2">
        <v>1545</v>
      </c>
      <c r="G17" s="2">
        <v>14.279112754159</v>
      </c>
      <c r="H17" s="2">
        <v>71.618926988548594</v>
      </c>
      <c r="I17" s="2">
        <v>85.720887245840999</v>
      </c>
      <c r="J17" s="2">
        <v>82.691750031177605</v>
      </c>
      <c r="K17" s="2">
        <v>58.551752926034801</v>
      </c>
      <c r="L17" s="2">
        <v>85.720887245840999</v>
      </c>
      <c r="M17" s="2">
        <v>85.720887245840999</v>
      </c>
      <c r="N17" s="2">
        <v>60.674607305364098</v>
      </c>
      <c r="O17" s="2">
        <v>85.720887245840999</v>
      </c>
      <c r="P17" s="2">
        <v>82.707212103032006</v>
      </c>
      <c r="Q17" s="2">
        <v>85.751702462021996</v>
      </c>
      <c r="R17" s="2">
        <v>272</v>
      </c>
      <c r="S17" s="2">
        <v>14.248297537978001</v>
      </c>
      <c r="T17" s="2">
        <v>71.451237571398394</v>
      </c>
      <c r="U17" s="2">
        <v>85.751702462021996</v>
      </c>
      <c r="V17" s="2">
        <v>82.886493038498102</v>
      </c>
      <c r="W17" s="2">
        <v>59.6676056338028</v>
      </c>
      <c r="X17" s="2">
        <v>85.751702462021996</v>
      </c>
      <c r="Y17" s="2">
        <v>85.751702462021996</v>
      </c>
      <c r="Z17" s="2">
        <v>62.021064950263302</v>
      </c>
      <c r="AA17" s="2">
        <v>85.751702462021996</v>
      </c>
      <c r="AB17" s="2">
        <v>83.109722937850094</v>
      </c>
      <c r="AC17" s="2">
        <v>15918.9984860768</v>
      </c>
      <c r="AD17" s="2">
        <v>29.764372999999999</v>
      </c>
      <c r="AE17" s="2">
        <v>6806304</v>
      </c>
      <c r="AF17" s="2">
        <v>4919309</v>
      </c>
      <c r="AG17" s="2" t="s">
        <v>60</v>
      </c>
      <c r="AH17" s="3">
        <v>46305</v>
      </c>
      <c r="AI17" s="2" t="s">
        <v>47</v>
      </c>
      <c r="AJ17" s="2" t="s">
        <v>48</v>
      </c>
      <c r="AK17" s="2" t="s">
        <v>49</v>
      </c>
      <c r="AL17" s="2" t="s">
        <v>50</v>
      </c>
    </row>
    <row r="18" spans="1:38" x14ac:dyDescent="0.2">
      <c r="A18" s="1">
        <v>0</v>
      </c>
      <c r="B18" s="2">
        <v>2.17</v>
      </c>
      <c r="C18" s="2" t="s">
        <v>44</v>
      </c>
      <c r="D18" s="2" t="s">
        <v>58</v>
      </c>
      <c r="E18" s="2">
        <v>71.367837338262504</v>
      </c>
      <c r="F18" s="2">
        <v>3098</v>
      </c>
      <c r="G18" s="2">
        <v>28.6321626617375</v>
      </c>
      <c r="H18" s="2">
        <v>62.480446441504697</v>
      </c>
      <c r="I18" s="2">
        <v>71.367837338262504</v>
      </c>
      <c r="J18" s="2">
        <v>84.658048692415406</v>
      </c>
      <c r="K18" s="2">
        <v>72.661287627761396</v>
      </c>
      <c r="L18" s="2">
        <v>71.367837338262504</v>
      </c>
      <c r="M18" s="2">
        <v>71.367837338262504</v>
      </c>
      <c r="N18" s="2">
        <v>62.239089782584202</v>
      </c>
      <c r="O18" s="2">
        <v>71.367837338262504</v>
      </c>
      <c r="P18" s="2">
        <v>75.273293999300805</v>
      </c>
      <c r="Q18" s="2">
        <v>69.722367731796794</v>
      </c>
      <c r="R18" s="2">
        <v>578</v>
      </c>
      <c r="S18" s="2">
        <v>30.277632268203199</v>
      </c>
      <c r="T18" s="2">
        <v>62.262971766479197</v>
      </c>
      <c r="U18" s="2">
        <v>69.722367731796794</v>
      </c>
      <c r="V18" s="2">
        <v>84.9456248038734</v>
      </c>
      <c r="W18" s="2">
        <v>72.917009750812596</v>
      </c>
      <c r="X18" s="2">
        <v>69.722367731796794</v>
      </c>
      <c r="Y18" s="2">
        <v>69.722367731796695</v>
      </c>
      <c r="Z18" s="2">
        <v>61.289573393208002</v>
      </c>
      <c r="AA18" s="2">
        <v>69.722367731796794</v>
      </c>
      <c r="AB18" s="2">
        <v>73.9813547714881</v>
      </c>
      <c r="AC18" s="2">
        <v>32026.2366508015</v>
      </c>
      <c r="AD18" s="2">
        <v>13.692485</v>
      </c>
      <c r="AE18" s="2">
        <v>294824</v>
      </c>
      <c r="AF18" s="2">
        <v>115517</v>
      </c>
      <c r="AG18" s="2" t="s">
        <v>61</v>
      </c>
      <c r="AH18" s="3">
        <v>46305</v>
      </c>
      <c r="AI18" s="2" t="s">
        <v>47</v>
      </c>
      <c r="AJ18" s="2" t="s">
        <v>48</v>
      </c>
      <c r="AK18" s="2" t="s">
        <v>49</v>
      </c>
      <c r="AL18" s="2" t="s">
        <v>50</v>
      </c>
    </row>
    <row r="19" spans="1:38" x14ac:dyDescent="0.2">
      <c r="A19" s="1">
        <v>0</v>
      </c>
      <c r="B19" s="2">
        <v>2.1800000000000002</v>
      </c>
      <c r="C19" s="2" t="s">
        <v>44</v>
      </c>
      <c r="D19" s="2" t="s">
        <v>62</v>
      </c>
      <c r="E19" s="2">
        <v>85.443622920517598</v>
      </c>
      <c r="F19" s="2">
        <v>1575</v>
      </c>
      <c r="G19" s="2">
        <v>14.556377079482401</v>
      </c>
      <c r="H19" s="2">
        <v>70.477262290649307</v>
      </c>
      <c r="I19" s="2">
        <v>85.443622920517598</v>
      </c>
      <c r="J19" s="2">
        <v>81.921240078496993</v>
      </c>
      <c r="K19" s="2">
        <v>56.341866388705</v>
      </c>
      <c r="L19" s="2">
        <v>85.443622920517598</v>
      </c>
      <c r="M19" s="2">
        <v>85.443622920517598</v>
      </c>
      <c r="N19" s="2">
        <v>57.657897728225599</v>
      </c>
      <c r="O19" s="2">
        <v>85.443622920517598</v>
      </c>
      <c r="P19" s="2">
        <v>81.737802869201005</v>
      </c>
      <c r="Q19" s="2">
        <v>85.280251440544802</v>
      </c>
      <c r="R19" s="2">
        <v>281</v>
      </c>
      <c r="S19" s="2">
        <v>14.7197485594552</v>
      </c>
      <c r="T19" s="2">
        <v>69.304490690032907</v>
      </c>
      <c r="U19" s="2">
        <v>85.280251440544802</v>
      </c>
      <c r="V19" s="2">
        <v>81.595652575538594</v>
      </c>
      <c r="W19" s="2">
        <v>56.339653304442002</v>
      </c>
      <c r="X19" s="2">
        <v>85.280251440544802</v>
      </c>
      <c r="Y19" s="2">
        <v>85.280251440544802</v>
      </c>
      <c r="Z19" s="2">
        <v>57.645337567517799</v>
      </c>
      <c r="AA19" s="2">
        <v>85.280251440544802</v>
      </c>
      <c r="AB19" s="2">
        <v>81.678035040753301</v>
      </c>
      <c r="AC19" s="2">
        <v>55981.539544076397</v>
      </c>
      <c r="AD19" s="2">
        <v>37.813288999999997</v>
      </c>
      <c r="AE19" s="2">
        <v>8084</v>
      </c>
      <c r="AF19" s="2">
        <v>5630</v>
      </c>
      <c r="AG19" s="2" t="s">
        <v>63</v>
      </c>
      <c r="AH19" s="3">
        <v>46305</v>
      </c>
      <c r="AI19" s="2" t="s">
        <v>47</v>
      </c>
      <c r="AJ19" s="2" t="s">
        <v>48</v>
      </c>
      <c r="AK19" s="2" t="s">
        <v>49</v>
      </c>
      <c r="AL19" s="2" t="s">
        <v>50</v>
      </c>
    </row>
    <row r="20" spans="1:38" x14ac:dyDescent="0.2">
      <c r="A20" s="1">
        <v>0</v>
      </c>
      <c r="B20" s="2">
        <v>2.19</v>
      </c>
      <c r="C20" s="2" t="s">
        <v>44</v>
      </c>
      <c r="D20" s="2" t="s">
        <v>62</v>
      </c>
      <c r="E20" s="2">
        <v>84.7874306839187</v>
      </c>
      <c r="F20" s="2">
        <v>1646</v>
      </c>
      <c r="G20" s="2">
        <v>15.2125693160813</v>
      </c>
      <c r="H20" s="2">
        <v>67.242601915520595</v>
      </c>
      <c r="I20" s="2">
        <v>84.7874306839187</v>
      </c>
      <c r="J20" s="2">
        <v>81.212258029226206</v>
      </c>
      <c r="K20" s="2">
        <v>57.568332532073697</v>
      </c>
      <c r="L20" s="2">
        <v>84.7874306839187</v>
      </c>
      <c r="M20" s="2">
        <v>84.7874306839187</v>
      </c>
      <c r="N20" s="2">
        <v>59.209813178465303</v>
      </c>
      <c r="O20" s="2">
        <v>84.7874306839187</v>
      </c>
      <c r="P20" s="2">
        <v>81.885768193804196</v>
      </c>
      <c r="Q20" s="2">
        <v>84.337349397590401</v>
      </c>
      <c r="R20" s="2">
        <v>299</v>
      </c>
      <c r="S20" s="2">
        <v>15.662650602409601</v>
      </c>
      <c r="T20" s="2">
        <v>64.891553517898103</v>
      </c>
      <c r="U20" s="2">
        <v>84.337349397590401</v>
      </c>
      <c r="V20" s="2">
        <v>80.276103532451103</v>
      </c>
      <c r="W20" s="2">
        <v>56.221668472372698</v>
      </c>
      <c r="X20" s="2">
        <v>84.337349397590401</v>
      </c>
      <c r="Y20" s="2">
        <v>84.337349397590401</v>
      </c>
      <c r="Z20" s="2">
        <v>57.402289774970399</v>
      </c>
      <c r="AA20" s="2">
        <v>84.337349397590401</v>
      </c>
      <c r="AB20" s="2">
        <v>81.196700153055602</v>
      </c>
      <c r="AC20" s="2">
        <v>422970.17317540402</v>
      </c>
      <c r="AD20" s="2">
        <v>63.722262999999998</v>
      </c>
      <c r="AE20" s="2">
        <v>10004</v>
      </c>
      <c r="AF20" s="2">
        <v>7550</v>
      </c>
      <c r="AG20" s="2" t="s">
        <v>64</v>
      </c>
      <c r="AH20" s="3">
        <v>46305</v>
      </c>
      <c r="AI20" s="2" t="s">
        <v>47</v>
      </c>
      <c r="AJ20" s="2" t="s">
        <v>48</v>
      </c>
      <c r="AK20" s="2" t="s">
        <v>49</v>
      </c>
      <c r="AL20" s="2" t="s">
        <v>50</v>
      </c>
    </row>
    <row r="21" spans="1:38" x14ac:dyDescent="0.2">
      <c r="A21" s="1">
        <v>0</v>
      </c>
      <c r="B21" s="2">
        <v>2.2000000000000002</v>
      </c>
      <c r="C21" s="2" t="s">
        <v>44</v>
      </c>
      <c r="D21" s="2" t="s">
        <v>45</v>
      </c>
      <c r="E21" s="2">
        <v>85.711645101663606</v>
      </c>
      <c r="F21" s="2">
        <v>1546</v>
      </c>
      <c r="G21" s="2">
        <v>14.288354898336401</v>
      </c>
      <c r="H21" s="2">
        <v>72.1510264585973</v>
      </c>
      <c r="I21" s="2">
        <v>85.711645101663606</v>
      </c>
      <c r="J21" s="2">
        <v>82.530556810545207</v>
      </c>
      <c r="K21" s="2">
        <v>56.934322403865004</v>
      </c>
      <c r="L21" s="2">
        <v>85.711645101663606</v>
      </c>
      <c r="M21" s="2">
        <v>85.711645101663606</v>
      </c>
      <c r="N21" s="2">
        <v>58.527822128782098</v>
      </c>
      <c r="O21" s="2">
        <v>85.711645101663606</v>
      </c>
      <c r="P21" s="2">
        <v>82.0995480764999</v>
      </c>
      <c r="Q21" s="2">
        <v>85.751702462021996</v>
      </c>
      <c r="R21" s="2">
        <v>272</v>
      </c>
      <c r="S21" s="2">
        <v>14.248297537978001</v>
      </c>
      <c r="T21" s="2">
        <v>72.319665588371194</v>
      </c>
      <c r="U21" s="2">
        <v>85.751702462021996</v>
      </c>
      <c r="V21" s="2">
        <v>82.594828992572999</v>
      </c>
      <c r="W21" s="2">
        <v>56.907150595883003</v>
      </c>
      <c r="X21" s="2">
        <v>85.751702462021996</v>
      </c>
      <c r="Y21" s="2">
        <v>85.751702462021996</v>
      </c>
      <c r="Z21" s="2">
        <v>58.495754041334102</v>
      </c>
      <c r="AA21" s="2">
        <v>85.751702462021996</v>
      </c>
      <c r="AB21" s="2">
        <v>82.122274294819903</v>
      </c>
      <c r="AC21" s="2">
        <v>718364.09507369495</v>
      </c>
      <c r="AD21" s="2">
        <v>2.5929959999999999</v>
      </c>
      <c r="AE21" s="2">
        <v>9683</v>
      </c>
      <c r="AF21" s="2">
        <v>5114</v>
      </c>
      <c r="AG21" s="2" t="s">
        <v>65</v>
      </c>
      <c r="AH21" s="3">
        <v>46305</v>
      </c>
      <c r="AI21" s="2" t="s">
        <v>47</v>
      </c>
      <c r="AJ21" s="2" t="s">
        <v>48</v>
      </c>
      <c r="AK21" s="2" t="s">
        <v>49</v>
      </c>
      <c r="AL21" s="2" t="s">
        <v>50</v>
      </c>
    </row>
    <row r="22" spans="1:38" x14ac:dyDescent="0.2">
      <c r="A22" s="1">
        <v>0</v>
      </c>
      <c r="B22" s="2">
        <v>2.2000000000000002</v>
      </c>
      <c r="C22" s="2" t="s">
        <v>44</v>
      </c>
      <c r="D22" s="2" t="s">
        <v>62</v>
      </c>
      <c r="E22" s="2">
        <v>79.537892791127504</v>
      </c>
      <c r="F22" s="2">
        <v>2214</v>
      </c>
      <c r="G22" s="2">
        <v>20.462107208872499</v>
      </c>
      <c r="H22" s="2">
        <v>58.762135950047004</v>
      </c>
      <c r="I22" s="2">
        <v>79.537892791127504</v>
      </c>
      <c r="J22" s="2">
        <v>78.963447901512396</v>
      </c>
      <c r="K22" s="2">
        <v>58.270979706932998</v>
      </c>
      <c r="L22" s="2">
        <v>79.537892791127504</v>
      </c>
      <c r="M22" s="2">
        <v>79.537892791127504</v>
      </c>
      <c r="N22" s="2">
        <v>58.497653115730401</v>
      </c>
      <c r="O22" s="2">
        <v>79.537892791127504</v>
      </c>
      <c r="P22" s="2">
        <v>79.242936160164007</v>
      </c>
      <c r="Q22" s="2">
        <v>79.937139863802997</v>
      </c>
      <c r="R22" s="2">
        <v>383</v>
      </c>
      <c r="S22" s="2">
        <v>20.062860136196999</v>
      </c>
      <c r="T22" s="2">
        <v>58.557814952904202</v>
      </c>
      <c r="U22" s="2">
        <v>79.937139863802997</v>
      </c>
      <c r="V22" s="2">
        <v>78.761954984979795</v>
      </c>
      <c r="W22" s="2">
        <v>57.559804983748599</v>
      </c>
      <c r="X22" s="2">
        <v>79.937139863802997</v>
      </c>
      <c r="Y22" s="2">
        <v>79.937139863802997</v>
      </c>
      <c r="Z22" s="2">
        <v>57.9771834970323</v>
      </c>
      <c r="AA22" s="2">
        <v>79.937139863802997</v>
      </c>
      <c r="AB22" s="2">
        <v>79.316532401263899</v>
      </c>
      <c r="AC22" s="2">
        <v>490881.04527719802</v>
      </c>
      <c r="AD22" s="2">
        <v>109.01280300000001</v>
      </c>
      <c r="AE22" s="2">
        <v>19604</v>
      </c>
      <c r="AF22" s="2">
        <v>17150</v>
      </c>
      <c r="AG22" s="2" t="s">
        <v>66</v>
      </c>
      <c r="AH22" s="3">
        <v>46305</v>
      </c>
      <c r="AI22" s="2" t="s">
        <v>47</v>
      </c>
      <c r="AJ22" s="2" t="s">
        <v>48</v>
      </c>
      <c r="AK22" s="2" t="s">
        <v>49</v>
      </c>
      <c r="AL22" s="2" t="s">
        <v>50</v>
      </c>
    </row>
    <row r="23" spans="1:38" x14ac:dyDescent="0.2">
      <c r="A23" s="1">
        <v>0</v>
      </c>
      <c r="B23" s="2">
        <v>2.21</v>
      </c>
      <c r="C23" s="2" t="s">
        <v>44</v>
      </c>
      <c r="D23" s="2" t="s">
        <v>62</v>
      </c>
      <c r="E23" s="2">
        <v>84.916820702403001</v>
      </c>
      <c r="F23" s="2">
        <v>1632</v>
      </c>
      <c r="G23" s="2">
        <v>15.083179297597001</v>
      </c>
      <c r="H23" s="2">
        <v>67.448497075708005</v>
      </c>
      <c r="I23" s="2">
        <v>84.916820702403001</v>
      </c>
      <c r="J23" s="2">
        <v>81.032586579022393</v>
      </c>
      <c r="K23" s="2">
        <v>56.364987937989</v>
      </c>
      <c r="L23" s="2">
        <v>84.916820702403001</v>
      </c>
      <c r="M23" s="2">
        <v>84.916820702402902</v>
      </c>
      <c r="N23" s="2">
        <v>57.649303004973497</v>
      </c>
      <c r="O23" s="2">
        <v>84.916820702403001</v>
      </c>
      <c r="P23" s="2">
        <v>81.506025468654002</v>
      </c>
      <c r="Q23" s="2">
        <v>85.332634887375605</v>
      </c>
      <c r="R23" s="2">
        <v>280</v>
      </c>
      <c r="S23" s="2">
        <v>14.667365112624401</v>
      </c>
      <c r="T23" s="2">
        <v>69.615133724722796</v>
      </c>
      <c r="U23" s="2">
        <v>85.332634887375605</v>
      </c>
      <c r="V23" s="2">
        <v>81.721491599000402</v>
      </c>
      <c r="W23" s="2">
        <v>56.515709642470199</v>
      </c>
      <c r="X23" s="2">
        <v>85.332634887375605</v>
      </c>
      <c r="Y23" s="2">
        <v>85.332634887375605</v>
      </c>
      <c r="Z23" s="2">
        <v>57.898550724637701</v>
      </c>
      <c r="AA23" s="2">
        <v>85.332634887375605</v>
      </c>
      <c r="AB23" s="2">
        <v>81.772078863658805</v>
      </c>
      <c r="AC23" s="2">
        <v>349099.82577272999</v>
      </c>
      <c r="AD23" s="2">
        <v>63.148026000000002</v>
      </c>
      <c r="AE23" s="2">
        <v>9856</v>
      </c>
      <c r="AF23" s="2">
        <v>6878</v>
      </c>
      <c r="AG23" s="2" t="s">
        <v>67</v>
      </c>
      <c r="AH23" s="3">
        <v>46305</v>
      </c>
      <c r="AI23" s="2" t="s">
        <v>47</v>
      </c>
      <c r="AJ23" s="2" t="s">
        <v>48</v>
      </c>
      <c r="AK23" s="2" t="s">
        <v>49</v>
      </c>
      <c r="AL23" s="2" t="s">
        <v>50</v>
      </c>
    </row>
    <row r="24" spans="1:38" x14ac:dyDescent="0.2">
      <c r="A24" s="1">
        <v>0</v>
      </c>
      <c r="B24" s="2">
        <v>2.2200000000000002</v>
      </c>
      <c r="C24" s="2" t="s">
        <v>44</v>
      </c>
      <c r="D24" s="2" t="s">
        <v>62</v>
      </c>
      <c r="E24" s="2">
        <v>84.205175600739395</v>
      </c>
      <c r="F24" s="2">
        <v>1709</v>
      </c>
      <c r="G24" s="2">
        <v>15.7948243992606</v>
      </c>
      <c r="H24" s="2">
        <v>64.680615764583393</v>
      </c>
      <c r="I24" s="2">
        <v>84.205175600739395</v>
      </c>
      <c r="J24" s="2">
        <v>80.249433370655296</v>
      </c>
      <c r="K24" s="2">
        <v>56.509794051132602</v>
      </c>
      <c r="L24" s="2">
        <v>84.205175600739395</v>
      </c>
      <c r="M24" s="2">
        <v>84.205175600739395</v>
      </c>
      <c r="N24" s="2">
        <v>57.764570883633802</v>
      </c>
      <c r="O24" s="2">
        <v>84.205175600739395</v>
      </c>
      <c r="P24" s="2">
        <v>81.2247780359681</v>
      </c>
      <c r="Q24" s="2">
        <v>84.651650078575202</v>
      </c>
      <c r="R24" s="2">
        <v>293</v>
      </c>
      <c r="S24" s="2">
        <v>15.3483499214248</v>
      </c>
      <c r="T24" s="2">
        <v>65.348620045652595</v>
      </c>
      <c r="U24" s="2">
        <v>84.651650078575202</v>
      </c>
      <c r="V24" s="2">
        <v>80.131808665954793</v>
      </c>
      <c r="W24" s="2">
        <v>54.808125677139799</v>
      </c>
      <c r="X24" s="2">
        <v>84.651650078575202</v>
      </c>
      <c r="Y24" s="2">
        <v>84.651650078575202</v>
      </c>
      <c r="Z24" s="2">
        <v>55.401641729756498</v>
      </c>
      <c r="AA24" s="2">
        <v>84.651650078575202</v>
      </c>
      <c r="AB24" s="2">
        <v>80.773091403602393</v>
      </c>
      <c r="AC24" s="2">
        <v>367839.53765085799</v>
      </c>
      <c r="AD24" s="2">
        <v>76.692400000000006</v>
      </c>
      <c r="AE24" s="2">
        <v>11628</v>
      </c>
      <c r="AF24" s="2">
        <v>8126</v>
      </c>
      <c r="AG24" s="2" t="s">
        <v>68</v>
      </c>
      <c r="AH24" s="3">
        <v>46305</v>
      </c>
      <c r="AI24" s="2" t="s">
        <v>47</v>
      </c>
      <c r="AJ24" s="2" t="s">
        <v>48</v>
      </c>
      <c r="AK24" s="2" t="s">
        <v>49</v>
      </c>
      <c r="AL24" s="2" t="s">
        <v>50</v>
      </c>
    </row>
    <row r="25" spans="1:38" x14ac:dyDescent="0.2">
      <c r="A25" s="1">
        <v>0</v>
      </c>
      <c r="B25" s="2">
        <v>2.23</v>
      </c>
      <c r="C25" s="2" t="s">
        <v>44</v>
      </c>
      <c r="D25" s="2" t="s">
        <v>69</v>
      </c>
      <c r="E25" s="2">
        <v>85.101663585951897</v>
      </c>
      <c r="F25" s="2">
        <v>1612</v>
      </c>
      <c r="G25" s="2">
        <v>14.898336414048099</v>
      </c>
      <c r="H25" s="2" t="s">
        <v>52</v>
      </c>
      <c r="I25" s="2">
        <v>85.101663585951897</v>
      </c>
      <c r="J25" s="2" t="s">
        <v>52</v>
      </c>
      <c r="K25" s="2">
        <v>50</v>
      </c>
      <c r="L25" s="2">
        <v>85.101663585951897</v>
      </c>
      <c r="M25" s="2">
        <v>85.101663585951897</v>
      </c>
      <c r="N25" s="2">
        <v>45.975634112242901</v>
      </c>
      <c r="O25" s="2">
        <v>85.101663585951897</v>
      </c>
      <c r="P25" s="2">
        <v>78.252058947418206</v>
      </c>
      <c r="Q25" s="2">
        <v>85.123101100052395</v>
      </c>
      <c r="R25" s="2">
        <v>284</v>
      </c>
      <c r="S25" s="2">
        <v>14.8768988999476</v>
      </c>
      <c r="T25" s="2" t="s">
        <v>52</v>
      </c>
      <c r="U25" s="2">
        <v>85.123101100052395</v>
      </c>
      <c r="V25" s="2" t="s">
        <v>52</v>
      </c>
      <c r="W25" s="2">
        <v>50</v>
      </c>
      <c r="X25" s="2">
        <v>85.123101100052395</v>
      </c>
      <c r="Y25" s="2">
        <v>85.123101100052395</v>
      </c>
      <c r="Z25" s="2">
        <v>45.9818902093945</v>
      </c>
      <c r="AA25" s="2">
        <v>85.123101100052395</v>
      </c>
      <c r="AB25" s="2">
        <v>78.282421781315904</v>
      </c>
      <c r="AC25" s="2">
        <v>72001.810027017302</v>
      </c>
      <c r="AD25" s="2">
        <v>39.316543000000003</v>
      </c>
      <c r="AE25" s="2">
        <v>13438</v>
      </c>
      <c r="AF25" s="2">
        <v>14120</v>
      </c>
      <c r="AG25" s="2" t="s">
        <v>70</v>
      </c>
      <c r="AH25" s="3">
        <v>46305</v>
      </c>
      <c r="AI25" s="2" t="s">
        <v>47</v>
      </c>
      <c r="AJ25" s="2" t="s">
        <v>48</v>
      </c>
      <c r="AK25" s="2" t="s">
        <v>49</v>
      </c>
      <c r="AL25" s="2" t="s">
        <v>50</v>
      </c>
    </row>
    <row r="26" spans="1:38" x14ac:dyDescent="0.2">
      <c r="A26" s="1">
        <v>0</v>
      </c>
      <c r="B26" s="2">
        <v>2.2400000000000002</v>
      </c>
      <c r="C26" s="2" t="s">
        <v>44</v>
      </c>
      <c r="D26" s="2" t="s">
        <v>69</v>
      </c>
      <c r="E26" s="2">
        <v>85.295748613678398</v>
      </c>
      <c r="F26" s="2">
        <v>1591</v>
      </c>
      <c r="G26" s="2">
        <v>14.7042513863216</v>
      </c>
      <c r="H26" s="2">
        <v>73.644193709498595</v>
      </c>
      <c r="I26" s="2">
        <v>85.295748613678398</v>
      </c>
      <c r="J26" s="2">
        <v>81.960789373109705</v>
      </c>
      <c r="K26" s="2">
        <v>51.521333267220399</v>
      </c>
      <c r="L26" s="2">
        <v>85.295748613678398</v>
      </c>
      <c r="M26" s="2">
        <v>85.295748613678398</v>
      </c>
      <c r="N26" s="2">
        <v>49.243723633389898</v>
      </c>
      <c r="O26" s="2">
        <v>85.295748613678398</v>
      </c>
      <c r="P26" s="2">
        <v>79.274558346655695</v>
      </c>
      <c r="Q26" s="2">
        <v>85.123101100052395</v>
      </c>
      <c r="R26" s="2">
        <v>284</v>
      </c>
      <c r="S26" s="2">
        <v>14.8768988999476</v>
      </c>
      <c r="T26" s="2">
        <v>67.747485442032797</v>
      </c>
      <c r="U26" s="2">
        <v>85.123101100052395</v>
      </c>
      <c r="V26" s="2">
        <v>80.214419951077403</v>
      </c>
      <c r="W26" s="2">
        <v>51.452871072589403</v>
      </c>
      <c r="X26" s="2">
        <v>85.123101100052395</v>
      </c>
      <c r="Y26" s="2">
        <v>85.123101100052395</v>
      </c>
      <c r="Z26" s="2">
        <v>49.248494742833202</v>
      </c>
      <c r="AA26" s="2">
        <v>85.123101100052395</v>
      </c>
      <c r="AB26" s="2">
        <v>79.222231269332198</v>
      </c>
      <c r="AC26" s="2">
        <v>76469.133184918202</v>
      </c>
      <c r="AD26" s="2">
        <v>62.469819000000001</v>
      </c>
      <c r="AE26" s="2">
        <v>13480</v>
      </c>
      <c r="AF26" s="2">
        <v>14120</v>
      </c>
      <c r="AG26" s="2" t="s">
        <v>71</v>
      </c>
      <c r="AH26" s="3">
        <v>46305</v>
      </c>
      <c r="AI26" s="2" t="s">
        <v>47</v>
      </c>
      <c r="AJ26" s="2" t="s">
        <v>48</v>
      </c>
      <c r="AK26" s="2" t="s">
        <v>49</v>
      </c>
      <c r="AL26" s="2" t="s">
        <v>50</v>
      </c>
    </row>
    <row r="27" spans="1:38" x14ac:dyDescent="0.2">
      <c r="A27" s="1">
        <v>0</v>
      </c>
      <c r="B27" s="2">
        <v>2.2999999999999998</v>
      </c>
      <c r="C27" s="2" t="s">
        <v>44</v>
      </c>
      <c r="D27" s="2" t="s">
        <v>45</v>
      </c>
      <c r="E27" s="2">
        <v>85.147874306839199</v>
      </c>
      <c r="F27" s="2">
        <v>1607</v>
      </c>
      <c r="G27" s="2">
        <v>14.852125693160801</v>
      </c>
      <c r="H27" s="2">
        <v>92.570503929727195</v>
      </c>
      <c r="I27" s="2">
        <v>85.147874306839199</v>
      </c>
      <c r="J27" s="2">
        <v>87.354750496289896</v>
      </c>
      <c r="K27" s="2">
        <v>50.1550868486352</v>
      </c>
      <c r="L27" s="2">
        <v>85.147874306839199</v>
      </c>
      <c r="M27" s="2">
        <v>85.147874306839199</v>
      </c>
      <c r="N27" s="2">
        <v>46.296329412888198</v>
      </c>
      <c r="O27" s="2">
        <v>85.147874306839199</v>
      </c>
      <c r="P27" s="2">
        <v>78.363735151718103</v>
      </c>
      <c r="Q27" s="2">
        <v>85.123101100052395</v>
      </c>
      <c r="R27" s="2">
        <v>284</v>
      </c>
      <c r="S27" s="2">
        <v>14.8768988999476</v>
      </c>
      <c r="T27" s="2" t="s">
        <v>52</v>
      </c>
      <c r="U27" s="2">
        <v>85.123101100052395</v>
      </c>
      <c r="V27" s="2" t="s">
        <v>52</v>
      </c>
      <c r="W27" s="2">
        <v>50</v>
      </c>
      <c r="X27" s="2">
        <v>85.123101100052395</v>
      </c>
      <c r="Y27" s="2">
        <v>85.123101100052395</v>
      </c>
      <c r="Z27" s="2">
        <v>45.9818902093945</v>
      </c>
      <c r="AA27" s="2">
        <v>85.123101100052395</v>
      </c>
      <c r="AB27" s="2">
        <v>78.282421781315904</v>
      </c>
      <c r="AC27" s="2">
        <v>730045.20612644195</v>
      </c>
      <c r="AD27" s="2">
        <v>0.88774500000000001</v>
      </c>
      <c r="AE27" s="2">
        <v>5063</v>
      </c>
      <c r="AF27" s="2">
        <v>3374</v>
      </c>
      <c r="AG27" s="2" t="s">
        <v>72</v>
      </c>
      <c r="AH27" s="3">
        <v>46305</v>
      </c>
      <c r="AI27" s="2" t="s">
        <v>47</v>
      </c>
      <c r="AJ27" s="2" t="s">
        <v>48</v>
      </c>
      <c r="AK27" s="2" t="s">
        <v>49</v>
      </c>
      <c r="AL27" s="2" t="s">
        <v>50</v>
      </c>
    </row>
    <row r="28" spans="1:38" x14ac:dyDescent="0.2">
      <c r="A28" s="1">
        <v>0</v>
      </c>
      <c r="B28" s="2">
        <v>2.4</v>
      </c>
      <c r="C28" s="2" t="s">
        <v>44</v>
      </c>
      <c r="D28" s="2" t="s">
        <v>73</v>
      </c>
      <c r="E28" s="2">
        <v>85.674676524953796</v>
      </c>
      <c r="F28" s="2">
        <v>1550</v>
      </c>
      <c r="G28" s="2">
        <v>14.325323475046201</v>
      </c>
      <c r="H28" s="2">
        <v>72.296757130991296</v>
      </c>
      <c r="I28" s="2">
        <v>85.674676524953796</v>
      </c>
      <c r="J28" s="2">
        <v>82.426210452017898</v>
      </c>
      <c r="K28" s="2">
        <v>56.170570202197702</v>
      </c>
      <c r="L28" s="2">
        <v>85.674676524953796</v>
      </c>
      <c r="M28" s="2">
        <v>85.674676524953796</v>
      </c>
      <c r="N28" s="2">
        <v>57.418667903795999</v>
      </c>
      <c r="O28" s="2">
        <v>85.674676524953796</v>
      </c>
      <c r="P28" s="2">
        <v>81.770000044290001</v>
      </c>
      <c r="Q28" s="2">
        <v>86.066003143006796</v>
      </c>
      <c r="R28" s="2">
        <v>266</v>
      </c>
      <c r="S28" s="2">
        <v>13.9339968569932</v>
      </c>
      <c r="T28" s="2">
        <v>74.903285947331597</v>
      </c>
      <c r="U28" s="2">
        <v>86.066003143006796</v>
      </c>
      <c r="V28" s="2">
        <v>83.365243979779606</v>
      </c>
      <c r="W28" s="2">
        <v>56.9464788732394</v>
      </c>
      <c r="X28" s="2">
        <v>86.066003143006796</v>
      </c>
      <c r="Y28" s="2">
        <v>86.066003143006796</v>
      </c>
      <c r="Z28" s="2">
        <v>58.589886614214301</v>
      </c>
      <c r="AA28" s="2">
        <v>86.066003143006796</v>
      </c>
      <c r="AB28" s="2">
        <v>82.284724083738894</v>
      </c>
      <c r="AC28" s="2">
        <v>179665.57627484499</v>
      </c>
      <c r="AD28" s="2">
        <v>2.4737969999999998</v>
      </c>
      <c r="AE28" s="2">
        <v>2486822</v>
      </c>
      <c r="AF28" s="2">
        <v>6001</v>
      </c>
      <c r="AG28" s="2" t="s">
        <v>47</v>
      </c>
      <c r="AH28" s="3">
        <v>46305</v>
      </c>
      <c r="AI28" s="2" t="s">
        <v>47</v>
      </c>
      <c r="AJ28" s="2" t="s">
        <v>48</v>
      </c>
      <c r="AK28" s="2" t="s">
        <v>49</v>
      </c>
      <c r="AL28" s="2" t="s">
        <v>50</v>
      </c>
    </row>
    <row r="29" spans="1:38" x14ac:dyDescent="0.2">
      <c r="A29" s="1">
        <v>0</v>
      </c>
      <c r="B29" s="2">
        <v>2.5</v>
      </c>
      <c r="C29" s="2" t="s">
        <v>44</v>
      </c>
      <c r="D29" s="2" t="s">
        <v>74</v>
      </c>
      <c r="E29" s="2">
        <v>85.101663585951897</v>
      </c>
      <c r="F29" s="2">
        <v>1612</v>
      </c>
      <c r="G29" s="2">
        <v>14.898336414048099</v>
      </c>
      <c r="H29" s="2" t="s">
        <v>52</v>
      </c>
      <c r="I29" s="2">
        <v>85.101663585951897</v>
      </c>
      <c r="J29" s="2" t="s">
        <v>52</v>
      </c>
      <c r="K29" s="2">
        <v>50</v>
      </c>
      <c r="L29" s="2">
        <v>85.101663585951897</v>
      </c>
      <c r="M29" s="2">
        <v>85.101663585951897</v>
      </c>
      <c r="N29" s="2">
        <v>45.975634112242901</v>
      </c>
      <c r="O29" s="2">
        <v>85.101663585951897</v>
      </c>
      <c r="P29" s="2">
        <v>78.252058947418206</v>
      </c>
      <c r="Q29" s="2">
        <v>85.123101100052395</v>
      </c>
      <c r="R29" s="2">
        <v>284</v>
      </c>
      <c r="S29" s="2">
        <v>14.8768988999476</v>
      </c>
      <c r="T29" s="2" t="s">
        <v>52</v>
      </c>
      <c r="U29" s="2">
        <v>85.123101100052395</v>
      </c>
      <c r="V29" s="2" t="s">
        <v>52</v>
      </c>
      <c r="W29" s="2">
        <v>50</v>
      </c>
      <c r="X29" s="2">
        <v>85.123101100052395</v>
      </c>
      <c r="Y29" s="2">
        <v>85.123101100052395</v>
      </c>
      <c r="Z29" s="2">
        <v>45.9818902093945</v>
      </c>
      <c r="AA29" s="2">
        <v>85.123101100052395</v>
      </c>
      <c r="AB29" s="2">
        <v>78.282421781315904</v>
      </c>
      <c r="AC29" s="2">
        <v>667159.94573930197</v>
      </c>
      <c r="AD29" s="2">
        <v>0.94731399999999999</v>
      </c>
      <c r="AE29" s="2">
        <v>11632</v>
      </c>
      <c r="AF29" s="2">
        <v>3496</v>
      </c>
      <c r="AG29" s="2" t="s">
        <v>75</v>
      </c>
      <c r="AH29" s="3">
        <v>46305</v>
      </c>
      <c r="AI29" s="2" t="s">
        <v>47</v>
      </c>
      <c r="AJ29" s="2" t="s">
        <v>48</v>
      </c>
      <c r="AK29" s="2" t="s">
        <v>49</v>
      </c>
      <c r="AL29" s="2" t="s">
        <v>50</v>
      </c>
    </row>
    <row r="30" spans="1:38" x14ac:dyDescent="0.2">
      <c r="A30" s="1">
        <v>0</v>
      </c>
      <c r="B30" s="2">
        <v>2.6</v>
      </c>
      <c r="C30" s="2" t="s">
        <v>44</v>
      </c>
      <c r="D30" s="2" t="s">
        <v>76</v>
      </c>
      <c r="E30" s="2">
        <v>85.101663585951897</v>
      </c>
      <c r="F30" s="2">
        <v>1612</v>
      </c>
      <c r="G30" s="2">
        <v>14.898336414048099</v>
      </c>
      <c r="H30" s="2" t="s">
        <v>52</v>
      </c>
      <c r="I30" s="2">
        <v>85.101663585951897</v>
      </c>
      <c r="J30" s="2" t="s">
        <v>52</v>
      </c>
      <c r="K30" s="2">
        <v>50</v>
      </c>
      <c r="L30" s="2">
        <v>85.101663585951897</v>
      </c>
      <c r="M30" s="2">
        <v>85.101663585951897</v>
      </c>
      <c r="N30" s="2">
        <v>45.975634112242901</v>
      </c>
      <c r="O30" s="2">
        <v>85.101663585951897</v>
      </c>
      <c r="P30" s="2">
        <v>78.252058947418206</v>
      </c>
      <c r="Q30" s="2">
        <v>85.123101100052395</v>
      </c>
      <c r="R30" s="2">
        <v>284</v>
      </c>
      <c r="S30" s="2">
        <v>14.8768988999476</v>
      </c>
      <c r="T30" s="2" t="s">
        <v>52</v>
      </c>
      <c r="U30" s="2">
        <v>85.123101100052395</v>
      </c>
      <c r="V30" s="2" t="s">
        <v>52</v>
      </c>
      <c r="W30" s="2">
        <v>50</v>
      </c>
      <c r="X30" s="2">
        <v>85.123101100052395</v>
      </c>
      <c r="Y30" s="2">
        <v>85.123101100052395</v>
      </c>
      <c r="Z30" s="2">
        <v>45.9818902093945</v>
      </c>
      <c r="AA30" s="2">
        <v>85.123101100052395</v>
      </c>
      <c r="AB30" s="2">
        <v>78.282421781315904</v>
      </c>
      <c r="AC30" s="2">
        <v>675279.28602633695</v>
      </c>
      <c r="AD30" s="2">
        <v>1.60612</v>
      </c>
      <c r="AE30" s="2">
        <v>11590</v>
      </c>
      <c r="AF30" s="2">
        <v>3496</v>
      </c>
      <c r="AG30" s="2" t="s">
        <v>77</v>
      </c>
      <c r="AH30" s="3">
        <v>46305</v>
      </c>
      <c r="AI30" s="2" t="s">
        <v>47</v>
      </c>
      <c r="AJ30" s="2" t="s">
        <v>48</v>
      </c>
      <c r="AK30" s="2" t="s">
        <v>49</v>
      </c>
      <c r="AL30" s="2" t="s">
        <v>50</v>
      </c>
    </row>
    <row r="31" spans="1:38" x14ac:dyDescent="0.2">
      <c r="A31" s="1">
        <v>0</v>
      </c>
      <c r="B31" s="2">
        <v>2.7</v>
      </c>
      <c r="C31" s="2" t="s">
        <v>44</v>
      </c>
      <c r="D31" s="2" t="s">
        <v>78</v>
      </c>
      <c r="E31" s="2">
        <v>83.585951940850293</v>
      </c>
      <c r="F31" s="2">
        <v>1776</v>
      </c>
      <c r="G31" s="2">
        <v>16.4140480591497</v>
      </c>
      <c r="H31" s="2">
        <v>64.916015317546794</v>
      </c>
      <c r="I31" s="2">
        <v>83.585951940850293</v>
      </c>
      <c r="J31" s="2">
        <v>81.053570915022107</v>
      </c>
      <c r="K31" s="2">
        <v>60.0096636218802</v>
      </c>
      <c r="L31" s="2">
        <v>83.585951940850293</v>
      </c>
      <c r="M31" s="2">
        <v>83.585951940850293</v>
      </c>
      <c r="N31" s="2">
        <v>61.539311389009796</v>
      </c>
      <c r="O31" s="2">
        <v>83.585951940850293</v>
      </c>
      <c r="P31" s="2">
        <v>81.981972721014202</v>
      </c>
      <c r="Q31" s="2">
        <v>83.813514929282306</v>
      </c>
      <c r="R31" s="2">
        <v>309</v>
      </c>
      <c r="S31" s="2">
        <v>16.186485070717598</v>
      </c>
      <c r="T31" s="2">
        <v>65.586313177818695</v>
      </c>
      <c r="U31" s="2">
        <v>83.813514929282306</v>
      </c>
      <c r="V31" s="2">
        <v>81.386363306269104</v>
      </c>
      <c r="W31" s="2">
        <v>60.563163596966398</v>
      </c>
      <c r="X31" s="2">
        <v>83.813514929282306</v>
      </c>
      <c r="Y31" s="2">
        <v>83.813514929282306</v>
      </c>
      <c r="Z31" s="2">
        <v>62.166379650385302</v>
      </c>
      <c r="AA31" s="2">
        <v>83.813514929282306</v>
      </c>
      <c r="AB31" s="2">
        <v>82.269432565205904</v>
      </c>
      <c r="AC31" s="2">
        <v>445340.79683898599</v>
      </c>
      <c r="AD31" s="2">
        <v>0.96674899999999997</v>
      </c>
      <c r="AE31" s="2">
        <v>8976</v>
      </c>
      <c r="AF31" s="2">
        <v>7327</v>
      </c>
      <c r="AG31" s="2" t="s">
        <v>79</v>
      </c>
      <c r="AH31" s="3">
        <v>46305</v>
      </c>
      <c r="AI31" s="2" t="s">
        <v>47</v>
      </c>
      <c r="AJ31" s="2" t="s">
        <v>48</v>
      </c>
      <c r="AK31" s="2" t="s">
        <v>49</v>
      </c>
      <c r="AL31" s="2" t="s">
        <v>50</v>
      </c>
    </row>
    <row r="32" spans="1:38" x14ac:dyDescent="0.2">
      <c r="A32" s="1">
        <v>0</v>
      </c>
      <c r="B32" s="2">
        <v>2.8</v>
      </c>
      <c r="C32" s="2" t="s">
        <v>44</v>
      </c>
      <c r="D32" s="2" t="s">
        <v>78</v>
      </c>
      <c r="E32" s="2">
        <v>83.909426987060996</v>
      </c>
      <c r="F32" s="2">
        <v>1741</v>
      </c>
      <c r="G32" s="2">
        <v>16.090573012939</v>
      </c>
      <c r="H32" s="2">
        <v>65.011152823886604</v>
      </c>
      <c r="I32" s="2">
        <v>83.909426987060996</v>
      </c>
      <c r="J32" s="2">
        <v>80.796427790180104</v>
      </c>
      <c r="K32" s="2">
        <v>58.690064524752501</v>
      </c>
      <c r="L32" s="2">
        <v>83.909426987060996</v>
      </c>
      <c r="M32" s="2">
        <v>83.909426987060996</v>
      </c>
      <c r="N32" s="2">
        <v>60.286148729665598</v>
      </c>
      <c r="O32" s="2">
        <v>83.909426987060996</v>
      </c>
      <c r="P32" s="2">
        <v>81.789135145863995</v>
      </c>
      <c r="Q32" s="2">
        <v>84.180199057097994</v>
      </c>
      <c r="R32" s="2">
        <v>302</v>
      </c>
      <c r="S32" s="2">
        <v>15.819800942902001</v>
      </c>
      <c r="T32" s="2">
        <v>65.983040063188398</v>
      </c>
      <c r="U32" s="2">
        <v>84.180199057097994</v>
      </c>
      <c r="V32" s="2">
        <v>81.263184215243896</v>
      </c>
      <c r="W32" s="2">
        <v>59.470964247020603</v>
      </c>
      <c r="X32" s="2">
        <v>84.180199057097994</v>
      </c>
      <c r="Y32" s="2">
        <v>84.180199057097994</v>
      </c>
      <c r="Z32" s="2">
        <v>61.211717530545201</v>
      </c>
      <c r="AA32" s="2">
        <v>84.180199057097994</v>
      </c>
      <c r="AB32" s="2">
        <v>82.178860979903405</v>
      </c>
      <c r="AC32" s="2">
        <v>1040.63296644449</v>
      </c>
      <c r="AD32" s="2">
        <v>48.199102000000003</v>
      </c>
      <c r="AE32" s="2">
        <v>3155968</v>
      </c>
      <c r="AF32" s="2">
        <v>1565693</v>
      </c>
      <c r="AG32" s="2" t="s">
        <v>80</v>
      </c>
      <c r="AH32" s="3">
        <v>46305</v>
      </c>
      <c r="AI32" s="2" t="s">
        <v>47</v>
      </c>
      <c r="AJ32" s="2" t="s">
        <v>48</v>
      </c>
      <c r="AK32" s="2" t="s">
        <v>49</v>
      </c>
      <c r="AL32" s="2" t="s">
        <v>50</v>
      </c>
    </row>
    <row r="33" spans="1:38" x14ac:dyDescent="0.2">
      <c r="A33" s="1">
        <v>0</v>
      </c>
      <c r="B33" s="2">
        <v>2.9</v>
      </c>
      <c r="C33" s="2" t="s">
        <v>44</v>
      </c>
      <c r="D33" s="2" t="s">
        <v>51</v>
      </c>
      <c r="E33" s="2">
        <v>85.101663585951897</v>
      </c>
      <c r="F33" s="2">
        <v>1612</v>
      </c>
      <c r="G33" s="2">
        <v>14.898336414048099</v>
      </c>
      <c r="H33" s="2" t="s">
        <v>52</v>
      </c>
      <c r="I33" s="2">
        <v>85.101663585951897</v>
      </c>
      <c r="J33" s="2" t="s">
        <v>52</v>
      </c>
      <c r="K33" s="2">
        <v>50</v>
      </c>
      <c r="L33" s="2">
        <v>85.101663585951897</v>
      </c>
      <c r="M33" s="2">
        <v>85.101663585951897</v>
      </c>
      <c r="N33" s="2">
        <v>45.975634112242901</v>
      </c>
      <c r="O33" s="2">
        <v>85.101663585951897</v>
      </c>
      <c r="P33" s="2">
        <v>78.252058947418206</v>
      </c>
      <c r="Q33" s="2">
        <v>85.123101100052395</v>
      </c>
      <c r="R33" s="2">
        <v>284</v>
      </c>
      <c r="S33" s="2">
        <v>14.8768988999476</v>
      </c>
      <c r="T33" s="2" t="s">
        <v>52</v>
      </c>
      <c r="U33" s="2">
        <v>85.123101100052395</v>
      </c>
      <c r="V33" s="2" t="s">
        <v>52</v>
      </c>
      <c r="W33" s="2">
        <v>50</v>
      </c>
      <c r="X33" s="2">
        <v>85.123101100052395</v>
      </c>
      <c r="Y33" s="2">
        <v>85.123101100052395</v>
      </c>
      <c r="Z33" s="2">
        <v>45.9818902093945</v>
      </c>
      <c r="AA33" s="2">
        <v>85.123101100052395</v>
      </c>
      <c r="AB33" s="2">
        <v>78.282421781315904</v>
      </c>
      <c r="AC33" s="2">
        <v>114206.098732333</v>
      </c>
      <c r="AD33" s="2">
        <v>8.1756290000000007</v>
      </c>
      <c r="AE33" s="2">
        <v>403179</v>
      </c>
      <c r="AF33" s="2">
        <v>401090</v>
      </c>
      <c r="AG33" s="2" t="s">
        <v>81</v>
      </c>
      <c r="AH33" s="3">
        <v>46305</v>
      </c>
      <c r="AI33" s="2" t="s">
        <v>47</v>
      </c>
      <c r="AJ33" s="2" t="s">
        <v>48</v>
      </c>
      <c r="AK33" s="2" t="s">
        <v>49</v>
      </c>
      <c r="AL33" s="2" t="s">
        <v>50</v>
      </c>
    </row>
  </sheetData>
  <sortState xmlns:xlrd2="http://schemas.microsoft.com/office/spreadsheetml/2017/richdata2" ref="A10:AL33">
    <sortCondition ref="B10:B33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376C-F17E-9E43-827F-599020F1C5FE}">
  <dimension ref="A1:AM33"/>
  <sheetViews>
    <sheetView workbookViewId="0">
      <selection activeCell="D10" sqref="D10"/>
    </sheetView>
  </sheetViews>
  <sheetFormatPr baseColWidth="10" defaultColWidth="11" defaultRowHeight="16" x14ac:dyDescent="0.2"/>
  <sheetData>
    <row r="1" spans="1:39" x14ac:dyDescent="0.2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 x14ac:dyDescent="0.2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x14ac:dyDescent="0.2">
      <c r="A3" s="1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2">
      <c r="A4" s="1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x14ac:dyDescent="0.2">
      <c r="A5" s="1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x14ac:dyDescent="0.2">
      <c r="A6" s="1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x14ac:dyDescent="0.2">
      <c r="A9" s="1" t="s">
        <v>6</v>
      </c>
      <c r="B9" s="2" t="s">
        <v>7</v>
      </c>
      <c r="C9" s="2" t="s">
        <v>9</v>
      </c>
      <c r="D9" s="2" t="s">
        <v>8</v>
      </c>
      <c r="E9" s="2" t="s">
        <v>10</v>
      </c>
      <c r="F9" s="2" t="s">
        <v>11</v>
      </c>
      <c r="G9" s="2" t="s">
        <v>22</v>
      </c>
      <c r="H9" s="2" t="s">
        <v>23</v>
      </c>
      <c r="I9" s="2" t="s">
        <v>82</v>
      </c>
      <c r="J9" s="2" t="s">
        <v>12</v>
      </c>
      <c r="K9" s="2" t="s">
        <v>13</v>
      </c>
      <c r="L9" s="2" t="s">
        <v>14</v>
      </c>
      <c r="M9" s="2" t="s">
        <v>15</v>
      </c>
      <c r="N9" s="2" t="s">
        <v>16</v>
      </c>
      <c r="O9" s="2" t="s">
        <v>17</v>
      </c>
      <c r="P9" s="2" t="s">
        <v>18</v>
      </c>
      <c r="Q9" s="2" t="s">
        <v>19</v>
      </c>
      <c r="R9" s="2" t="s">
        <v>20</v>
      </c>
      <c r="S9" s="2" t="s">
        <v>21</v>
      </c>
      <c r="T9" s="2" t="s">
        <v>24</v>
      </c>
      <c r="U9" s="2" t="s">
        <v>25</v>
      </c>
      <c r="V9" s="2" t="s">
        <v>26</v>
      </c>
      <c r="W9" s="2" t="s">
        <v>27</v>
      </c>
      <c r="X9" s="2" t="s">
        <v>28</v>
      </c>
      <c r="Y9" s="2" t="s">
        <v>29</v>
      </c>
      <c r="Z9" s="2" t="s">
        <v>30</v>
      </c>
      <c r="AA9" s="2" t="s">
        <v>31</v>
      </c>
      <c r="AB9" s="2" t="s">
        <v>32</v>
      </c>
      <c r="AC9" s="2" t="s">
        <v>33</v>
      </c>
      <c r="AD9" s="2" t="s">
        <v>34</v>
      </c>
      <c r="AE9" s="2" t="s">
        <v>35</v>
      </c>
      <c r="AF9" s="2" t="s">
        <v>36</v>
      </c>
      <c r="AG9" s="2" t="s">
        <v>37</v>
      </c>
      <c r="AH9" s="2" t="s">
        <v>38</v>
      </c>
      <c r="AI9" s="2" t="s">
        <v>39</v>
      </c>
      <c r="AJ9" s="2" t="s">
        <v>40</v>
      </c>
      <c r="AK9" s="2" t="s">
        <v>41</v>
      </c>
      <c r="AL9" s="2" t="s">
        <v>42</v>
      </c>
      <c r="AM9" s="2" t="s">
        <v>43</v>
      </c>
    </row>
    <row r="10" spans="1:39" x14ac:dyDescent="0.2">
      <c r="A10" s="1">
        <v>0</v>
      </c>
      <c r="B10" s="2">
        <v>2.1</v>
      </c>
      <c r="C10" s="2" t="s">
        <v>45</v>
      </c>
      <c r="D10" s="2" t="s">
        <v>44</v>
      </c>
      <c r="E10" s="2">
        <v>84.593345656192199</v>
      </c>
      <c r="F10" s="2">
        <v>1667</v>
      </c>
      <c r="G10" s="2">
        <v>85.280251440544802</v>
      </c>
      <c r="H10" s="2">
        <v>281</v>
      </c>
      <c r="I10" s="2" t="s">
        <v>83</v>
      </c>
      <c r="J10" s="2">
        <v>15.4066543438078</v>
      </c>
      <c r="K10" s="2">
        <v>67.002154570610202</v>
      </c>
      <c r="L10" s="2">
        <v>84.593345656192199</v>
      </c>
      <c r="M10" s="2">
        <v>81.422906511693895</v>
      </c>
      <c r="N10" s="2">
        <v>58.938365171724698</v>
      </c>
      <c r="O10" s="2">
        <v>84.593345656192199</v>
      </c>
      <c r="P10" s="2">
        <v>84.593345656192199</v>
      </c>
      <c r="Q10" s="2">
        <v>60.781279860016703</v>
      </c>
      <c r="R10" s="2">
        <v>84.593345656192199</v>
      </c>
      <c r="S10" s="2">
        <v>82.235016283661494</v>
      </c>
      <c r="T10" s="2">
        <v>14.7197485594552</v>
      </c>
      <c r="U10" s="2">
        <v>69.470156879245096</v>
      </c>
      <c r="V10" s="2">
        <v>85.280251440544802</v>
      </c>
      <c r="W10" s="2">
        <v>82.342856822598407</v>
      </c>
      <c r="X10" s="2">
        <v>59.826543878656601</v>
      </c>
      <c r="Y10" s="2">
        <v>85.280251440544802</v>
      </c>
      <c r="Z10" s="2">
        <v>85.280251440544802</v>
      </c>
      <c r="AA10" s="2">
        <v>62.0158683514546</v>
      </c>
      <c r="AB10" s="2">
        <v>85.280251440544802</v>
      </c>
      <c r="AC10" s="2">
        <v>82.897754377204194</v>
      </c>
      <c r="AD10" s="2">
        <v>791051.32329287904</v>
      </c>
      <c r="AE10" s="2">
        <v>3.7391830000000001</v>
      </c>
      <c r="AF10" s="2">
        <v>32299</v>
      </c>
      <c r="AG10" s="2">
        <v>22290</v>
      </c>
      <c r="AH10" s="2" t="s">
        <v>46</v>
      </c>
      <c r="AI10" s="3">
        <v>46305</v>
      </c>
      <c r="AJ10" s="2" t="s">
        <v>47</v>
      </c>
      <c r="AK10" s="2" t="s">
        <v>48</v>
      </c>
      <c r="AL10" s="2" t="s">
        <v>49</v>
      </c>
      <c r="AM10" s="2" t="s">
        <v>50</v>
      </c>
    </row>
    <row r="11" spans="1:39" x14ac:dyDescent="0.2">
      <c r="A11" s="1">
        <v>0</v>
      </c>
      <c r="B11" s="2">
        <v>2.1</v>
      </c>
      <c r="C11" s="2" t="s">
        <v>51</v>
      </c>
      <c r="D11" s="2" t="s">
        <v>44</v>
      </c>
      <c r="E11" s="2">
        <v>85.101663585951897</v>
      </c>
      <c r="F11" s="2">
        <v>1612</v>
      </c>
      <c r="G11" s="2">
        <v>85.123101100052395</v>
      </c>
      <c r="H11" s="2">
        <v>284</v>
      </c>
      <c r="I11" s="2" t="s">
        <v>84</v>
      </c>
      <c r="J11" s="2">
        <v>14.898336414048099</v>
      </c>
      <c r="K11" s="2" t="s">
        <v>52</v>
      </c>
      <c r="L11" s="2">
        <v>85.101663585951897</v>
      </c>
      <c r="M11" s="2" t="s">
        <v>52</v>
      </c>
      <c r="N11" s="2">
        <v>50</v>
      </c>
      <c r="O11" s="2">
        <v>85.101663585951897</v>
      </c>
      <c r="P11" s="2">
        <v>85.101663585951897</v>
      </c>
      <c r="Q11" s="2">
        <v>45.975634112242901</v>
      </c>
      <c r="R11" s="2">
        <v>85.101663585951897</v>
      </c>
      <c r="S11" s="2">
        <v>78.252058947418206</v>
      </c>
      <c r="T11" s="2">
        <v>14.8768988999476</v>
      </c>
      <c r="U11" s="2" t="s">
        <v>52</v>
      </c>
      <c r="V11" s="2">
        <v>85.123101100052395</v>
      </c>
      <c r="W11" s="2" t="s">
        <v>52</v>
      </c>
      <c r="X11" s="2">
        <v>50</v>
      </c>
      <c r="Y11" s="2">
        <v>85.123101100052395</v>
      </c>
      <c r="Z11" s="2">
        <v>85.123101100052395</v>
      </c>
      <c r="AA11" s="2">
        <v>45.9818902093945</v>
      </c>
      <c r="AB11" s="2">
        <v>85.123101100052395</v>
      </c>
      <c r="AC11" s="2">
        <v>78.282421781315904</v>
      </c>
      <c r="AD11" s="2">
        <v>9972.4513336079908</v>
      </c>
      <c r="AE11" s="2">
        <v>36.307242000000002</v>
      </c>
      <c r="AF11" s="2">
        <v>531123</v>
      </c>
      <c r="AG11" s="2">
        <v>529130</v>
      </c>
      <c r="AH11" s="2" t="s">
        <v>53</v>
      </c>
      <c r="AI11" s="3">
        <v>46305</v>
      </c>
      <c r="AJ11" s="2" t="s">
        <v>47</v>
      </c>
      <c r="AK11" s="2" t="s">
        <v>48</v>
      </c>
      <c r="AL11" s="2" t="s">
        <v>49</v>
      </c>
      <c r="AM11" s="2" t="s">
        <v>50</v>
      </c>
    </row>
    <row r="12" spans="1:39" x14ac:dyDescent="0.2">
      <c r="A12" s="1">
        <v>0</v>
      </c>
      <c r="B12" s="2">
        <v>2.11</v>
      </c>
      <c r="C12" s="2" t="s">
        <v>51</v>
      </c>
      <c r="D12" s="2" t="s">
        <v>44</v>
      </c>
      <c r="E12" s="2">
        <v>85.573012939001799</v>
      </c>
      <c r="F12" s="2">
        <v>1561</v>
      </c>
      <c r="G12" s="2">
        <v>85.699319015191193</v>
      </c>
      <c r="H12" s="2">
        <v>273</v>
      </c>
      <c r="I12" s="2" t="s">
        <v>85</v>
      </c>
      <c r="J12" s="2">
        <v>14.426987060998201</v>
      </c>
      <c r="K12" s="2">
        <v>76.701768553662305</v>
      </c>
      <c r="L12" s="2">
        <v>85.573012939001799</v>
      </c>
      <c r="M12" s="2">
        <v>83.101196127360197</v>
      </c>
      <c r="N12" s="2">
        <v>52.784489374866602</v>
      </c>
      <c r="O12" s="2">
        <v>85.573012939001799</v>
      </c>
      <c r="P12" s="2">
        <v>85.573012939001799</v>
      </c>
      <c r="Q12" s="2">
        <v>51.652225278837399</v>
      </c>
      <c r="R12" s="2">
        <v>85.573012939001799</v>
      </c>
      <c r="S12" s="2">
        <v>80.082359127078504</v>
      </c>
      <c r="T12" s="2">
        <v>14.3006809848088</v>
      </c>
      <c r="U12" s="2">
        <v>77.461482024944999</v>
      </c>
      <c r="V12" s="2">
        <v>85.699319015191193</v>
      </c>
      <c r="W12" s="2">
        <v>83.429574625658205</v>
      </c>
      <c r="X12" s="2">
        <v>53.244203683640301</v>
      </c>
      <c r="Y12" s="2">
        <v>85.699319015191193</v>
      </c>
      <c r="Z12" s="2">
        <v>85.699319015191193</v>
      </c>
      <c r="AA12" s="2">
        <v>52.495339838569301</v>
      </c>
      <c r="AB12" s="2">
        <v>85.699319015191193</v>
      </c>
      <c r="AC12" s="2">
        <v>80.394171966294806</v>
      </c>
      <c r="AD12" s="2">
        <v>311887.46685114701</v>
      </c>
      <c r="AE12" s="2">
        <v>542.98608999999999</v>
      </c>
      <c r="AF12" s="2">
        <v>434283</v>
      </c>
      <c r="AG12" s="2">
        <v>432290</v>
      </c>
      <c r="AH12" s="2" t="s">
        <v>54</v>
      </c>
      <c r="AI12" s="3">
        <v>46305</v>
      </c>
      <c r="AJ12" s="2" t="s">
        <v>47</v>
      </c>
      <c r="AK12" s="2" t="s">
        <v>48</v>
      </c>
      <c r="AL12" s="2" t="s">
        <v>49</v>
      </c>
      <c r="AM12" s="2" t="s">
        <v>50</v>
      </c>
    </row>
    <row r="13" spans="1:39" x14ac:dyDescent="0.2">
      <c r="A13" s="1">
        <v>0</v>
      </c>
      <c r="B13" s="2">
        <v>2.12</v>
      </c>
      <c r="C13" s="2" t="s">
        <v>51</v>
      </c>
      <c r="D13" s="2" t="s">
        <v>44</v>
      </c>
      <c r="E13" s="2">
        <v>85.101663585951897</v>
      </c>
      <c r="F13" s="2">
        <v>1612</v>
      </c>
      <c r="G13" s="2">
        <v>85.123101100052395</v>
      </c>
      <c r="H13" s="2">
        <v>284</v>
      </c>
      <c r="I13" s="2" t="s">
        <v>86</v>
      </c>
      <c r="J13" s="2">
        <v>14.898336414048099</v>
      </c>
      <c r="K13" s="2" t="s">
        <v>52</v>
      </c>
      <c r="L13" s="2">
        <v>85.101663585951897</v>
      </c>
      <c r="M13" s="2" t="s">
        <v>52</v>
      </c>
      <c r="N13" s="2">
        <v>50</v>
      </c>
      <c r="O13" s="2">
        <v>85.101663585951897</v>
      </c>
      <c r="P13" s="2">
        <v>85.101663585951897</v>
      </c>
      <c r="Q13" s="2">
        <v>45.975634112242901</v>
      </c>
      <c r="R13" s="2">
        <v>85.101663585951897</v>
      </c>
      <c r="S13" s="2">
        <v>78.252058947418206</v>
      </c>
      <c r="T13" s="2">
        <v>14.8768988999476</v>
      </c>
      <c r="U13" s="2" t="s">
        <v>52</v>
      </c>
      <c r="V13" s="2">
        <v>85.123101100052395</v>
      </c>
      <c r="W13" s="2" t="s">
        <v>52</v>
      </c>
      <c r="X13" s="2">
        <v>50</v>
      </c>
      <c r="Y13" s="2">
        <v>85.123101100052395</v>
      </c>
      <c r="Z13" s="2">
        <v>85.123101100052395</v>
      </c>
      <c r="AA13" s="2">
        <v>45.9818902093945</v>
      </c>
      <c r="AB13" s="2">
        <v>85.123101100052395</v>
      </c>
      <c r="AC13" s="2">
        <v>78.282421781315904</v>
      </c>
      <c r="AD13" s="2">
        <v>5108.3638835840702</v>
      </c>
      <c r="AE13" s="2">
        <v>40.691240999999998</v>
      </c>
      <c r="AF13" s="2">
        <v>1299359</v>
      </c>
      <c r="AG13" s="2">
        <v>1297370</v>
      </c>
      <c r="AH13" s="2" t="s">
        <v>55</v>
      </c>
      <c r="AI13" s="3">
        <v>46305</v>
      </c>
      <c r="AJ13" s="2" t="s">
        <v>47</v>
      </c>
      <c r="AK13" s="2" t="s">
        <v>48</v>
      </c>
      <c r="AL13" s="2" t="s">
        <v>49</v>
      </c>
      <c r="AM13" s="2" t="s">
        <v>50</v>
      </c>
    </row>
    <row r="14" spans="1:39" x14ac:dyDescent="0.2">
      <c r="A14" s="1">
        <v>0</v>
      </c>
      <c r="B14" s="2">
        <v>2.13</v>
      </c>
      <c r="C14" s="2" t="s">
        <v>51</v>
      </c>
      <c r="D14" s="2" t="s">
        <v>44</v>
      </c>
      <c r="E14" s="2">
        <v>85.4251386321627</v>
      </c>
      <c r="F14" s="2">
        <v>1577</v>
      </c>
      <c r="G14" s="2">
        <v>85.437401781037195</v>
      </c>
      <c r="H14" s="2">
        <v>278</v>
      </c>
      <c r="I14" s="2" t="s">
        <v>87</v>
      </c>
      <c r="J14" s="2">
        <v>14.5748613678373</v>
      </c>
      <c r="K14" s="2">
        <v>77.832091594191695</v>
      </c>
      <c r="L14" s="2">
        <v>85.4251386321627</v>
      </c>
      <c r="M14" s="2">
        <v>83.249787000957397</v>
      </c>
      <c r="N14" s="2">
        <v>51.7508779721162</v>
      </c>
      <c r="O14" s="2">
        <v>85.4251386321627</v>
      </c>
      <c r="P14" s="2">
        <v>85.4251386321627</v>
      </c>
      <c r="Q14" s="2">
        <v>49.636182476976899</v>
      </c>
      <c r="R14" s="2">
        <v>85.4251386321627</v>
      </c>
      <c r="S14" s="2">
        <v>79.441347585494697</v>
      </c>
      <c r="T14" s="2">
        <v>14.562598218962799</v>
      </c>
      <c r="U14" s="2">
        <v>74.663968781615793</v>
      </c>
      <c r="V14" s="2">
        <v>85.437401781037195</v>
      </c>
      <c r="W14" s="2">
        <v>82.410442589778896</v>
      </c>
      <c r="X14" s="2">
        <v>52.218634886240501</v>
      </c>
      <c r="Y14" s="2">
        <v>85.437401781037195</v>
      </c>
      <c r="Z14" s="2">
        <v>85.437401781037195</v>
      </c>
      <c r="AA14" s="2">
        <v>50.617304628761097</v>
      </c>
      <c r="AB14" s="2">
        <v>85.437401781037195</v>
      </c>
      <c r="AC14" s="2">
        <v>79.746281722461802</v>
      </c>
      <c r="AD14" s="2">
        <v>6825.4563025708403</v>
      </c>
      <c r="AE14" s="2">
        <v>38.388437000000003</v>
      </c>
      <c r="AF14" s="2">
        <v>493199</v>
      </c>
      <c r="AG14" s="2">
        <v>491210</v>
      </c>
      <c r="AH14" s="2" t="s">
        <v>56</v>
      </c>
      <c r="AI14" s="3">
        <v>46305</v>
      </c>
      <c r="AJ14" s="2" t="s">
        <v>47</v>
      </c>
      <c r="AK14" s="2" t="s">
        <v>48</v>
      </c>
      <c r="AL14" s="2" t="s">
        <v>49</v>
      </c>
      <c r="AM14" s="2" t="s">
        <v>50</v>
      </c>
    </row>
    <row r="15" spans="1:39" x14ac:dyDescent="0.2">
      <c r="A15" s="1">
        <v>0</v>
      </c>
      <c r="B15" s="2">
        <v>2.14</v>
      </c>
      <c r="C15" s="2" t="s">
        <v>51</v>
      </c>
      <c r="D15" s="2" t="s">
        <v>44</v>
      </c>
      <c r="E15" s="2">
        <v>85.101663585951897</v>
      </c>
      <c r="F15" s="2">
        <v>1612</v>
      </c>
      <c r="G15" s="2">
        <v>85.123101100052395</v>
      </c>
      <c r="H15" s="2">
        <v>284</v>
      </c>
      <c r="I15" s="2" t="s">
        <v>88</v>
      </c>
      <c r="J15" s="2">
        <v>14.898336414048099</v>
      </c>
      <c r="K15" s="2" t="s">
        <v>52</v>
      </c>
      <c r="L15" s="2">
        <v>85.101663585951897</v>
      </c>
      <c r="M15" s="2" t="s">
        <v>52</v>
      </c>
      <c r="N15" s="2">
        <v>50</v>
      </c>
      <c r="O15" s="2">
        <v>85.101663585951897</v>
      </c>
      <c r="P15" s="2">
        <v>85.101663585951897</v>
      </c>
      <c r="Q15" s="2">
        <v>45.975634112242901</v>
      </c>
      <c r="R15" s="2">
        <v>85.101663585951897</v>
      </c>
      <c r="S15" s="2">
        <v>78.252058947418206</v>
      </c>
      <c r="T15" s="2">
        <v>14.8768988999476</v>
      </c>
      <c r="U15" s="2" t="s">
        <v>52</v>
      </c>
      <c r="V15" s="2">
        <v>85.123101100052395</v>
      </c>
      <c r="W15" s="2" t="s">
        <v>52</v>
      </c>
      <c r="X15" s="2">
        <v>50</v>
      </c>
      <c r="Y15" s="2">
        <v>85.123101100052395</v>
      </c>
      <c r="Z15" s="2">
        <v>85.123101100052395</v>
      </c>
      <c r="AA15" s="2">
        <v>45.9818902093945</v>
      </c>
      <c r="AB15" s="2">
        <v>85.123101100052395</v>
      </c>
      <c r="AC15" s="2">
        <v>78.282421781315904</v>
      </c>
      <c r="AD15" s="2">
        <v>7232.0305429637401</v>
      </c>
      <c r="AE15" s="2">
        <v>35.861007000000001</v>
      </c>
      <c r="AF15" s="2">
        <v>462839</v>
      </c>
      <c r="AG15" s="2">
        <v>460850</v>
      </c>
      <c r="AH15" s="2" t="s">
        <v>57</v>
      </c>
      <c r="AI15" s="3">
        <v>46305</v>
      </c>
      <c r="AJ15" s="2" t="s">
        <v>47</v>
      </c>
      <c r="AK15" s="2" t="s">
        <v>48</v>
      </c>
      <c r="AL15" s="2" t="s">
        <v>49</v>
      </c>
      <c r="AM15" s="2" t="s">
        <v>50</v>
      </c>
    </row>
    <row r="16" spans="1:39" x14ac:dyDescent="0.2">
      <c r="A16" s="1">
        <v>0</v>
      </c>
      <c r="B16" s="2">
        <v>2.15</v>
      </c>
      <c r="C16" s="2" t="s">
        <v>58</v>
      </c>
      <c r="D16" s="2" t="s">
        <v>44</v>
      </c>
      <c r="E16" s="2">
        <v>86.1275415896488</v>
      </c>
      <c r="F16" s="2">
        <v>1501</v>
      </c>
      <c r="G16" s="2">
        <v>86.904138292299606</v>
      </c>
      <c r="H16" s="2">
        <v>250</v>
      </c>
      <c r="I16" s="2" t="s">
        <v>89</v>
      </c>
      <c r="J16" s="2">
        <v>13.8724584103512</v>
      </c>
      <c r="K16" s="2">
        <v>75.011020160668906</v>
      </c>
      <c r="L16" s="2">
        <v>86.1275415896488</v>
      </c>
      <c r="M16" s="2">
        <v>83.487339852952701</v>
      </c>
      <c r="N16" s="2">
        <v>57.511310156450399</v>
      </c>
      <c r="O16" s="2">
        <v>86.1275415896488</v>
      </c>
      <c r="P16" s="2">
        <v>86.1275415896488</v>
      </c>
      <c r="Q16" s="2">
        <v>59.399532403224597</v>
      </c>
      <c r="R16" s="2">
        <v>86.1275415896488</v>
      </c>
      <c r="S16" s="2">
        <v>82.525851776738506</v>
      </c>
      <c r="T16" s="2">
        <v>13.095861707700401</v>
      </c>
      <c r="U16" s="2">
        <v>79.671329944404803</v>
      </c>
      <c r="V16" s="2">
        <v>86.904138292299606</v>
      </c>
      <c r="W16" s="2">
        <v>85.204242662332305</v>
      </c>
      <c r="X16" s="2">
        <v>59.182231852654397</v>
      </c>
      <c r="Y16" s="2">
        <v>86.904138292299606</v>
      </c>
      <c r="Z16" s="2">
        <v>86.904138292299606</v>
      </c>
      <c r="AA16" s="2">
        <v>61.852715111520403</v>
      </c>
      <c r="AB16" s="2">
        <v>86.904138292299606</v>
      </c>
      <c r="AC16" s="2">
        <v>83.568266815091803</v>
      </c>
      <c r="AD16" s="2">
        <v>42855.049330835398</v>
      </c>
      <c r="AE16" s="2">
        <v>11.691848</v>
      </c>
      <c r="AF16" s="2">
        <v>311332</v>
      </c>
      <c r="AG16" s="2">
        <v>138241</v>
      </c>
      <c r="AH16" s="2" t="s">
        <v>59</v>
      </c>
      <c r="AI16" s="3">
        <v>46305</v>
      </c>
      <c r="AJ16" s="2" t="s">
        <v>47</v>
      </c>
      <c r="AK16" s="2" t="s">
        <v>48</v>
      </c>
      <c r="AL16" s="2" t="s">
        <v>49</v>
      </c>
      <c r="AM16" s="2" t="s">
        <v>50</v>
      </c>
    </row>
    <row r="17" spans="1:39" x14ac:dyDescent="0.2">
      <c r="A17" s="1">
        <v>0</v>
      </c>
      <c r="B17" s="2">
        <v>2.16</v>
      </c>
      <c r="C17" s="2" t="s">
        <v>58</v>
      </c>
      <c r="D17" s="2" t="s">
        <v>44</v>
      </c>
      <c r="E17" s="2">
        <v>85.591497227356797</v>
      </c>
      <c r="F17" s="2">
        <v>1559</v>
      </c>
      <c r="G17" s="2">
        <v>86.066003143006796</v>
      </c>
      <c r="H17" s="2">
        <v>266</v>
      </c>
      <c r="I17" s="2" t="s">
        <v>90</v>
      </c>
      <c r="J17" s="2">
        <v>14.4085027726432</v>
      </c>
      <c r="K17" s="2">
        <v>71.031432514024701</v>
      </c>
      <c r="L17" s="2">
        <v>85.591497227356797</v>
      </c>
      <c r="M17" s="2">
        <v>82.407512699425894</v>
      </c>
      <c r="N17" s="2">
        <v>57.989573205304303</v>
      </c>
      <c r="O17" s="2">
        <v>85.591497227356797</v>
      </c>
      <c r="P17" s="2">
        <v>85.591497227356697</v>
      </c>
      <c r="Q17" s="2">
        <v>59.926991226494103</v>
      </c>
      <c r="R17" s="2">
        <v>85.591497227356797</v>
      </c>
      <c r="S17" s="2">
        <v>82.440859754332493</v>
      </c>
      <c r="T17" s="2">
        <v>13.9339968569932</v>
      </c>
      <c r="U17" s="2">
        <v>72.827999692289893</v>
      </c>
      <c r="V17" s="2">
        <v>86.066003143006796</v>
      </c>
      <c r="W17" s="2">
        <v>83.413666136780904</v>
      </c>
      <c r="X17" s="2">
        <v>60.288082340194997</v>
      </c>
      <c r="Y17" s="2">
        <v>86.066003143006796</v>
      </c>
      <c r="Z17" s="2">
        <v>86.066003143006796</v>
      </c>
      <c r="AA17" s="2">
        <v>62.858835576360399</v>
      </c>
      <c r="AB17" s="2">
        <v>86.066003143006796</v>
      </c>
      <c r="AC17" s="2">
        <v>83.482302578926905</v>
      </c>
      <c r="AD17" s="2">
        <v>23982.037852610199</v>
      </c>
      <c r="AE17" s="2">
        <v>29.570913999999998</v>
      </c>
      <c r="AF17" s="2">
        <v>6786504</v>
      </c>
      <c r="AG17" s="2">
        <v>4911469</v>
      </c>
      <c r="AH17" s="2" t="s">
        <v>60</v>
      </c>
      <c r="AI17" s="3">
        <v>46305</v>
      </c>
      <c r="AJ17" s="2" t="s">
        <v>47</v>
      </c>
      <c r="AK17" s="2" t="s">
        <v>48</v>
      </c>
      <c r="AL17" s="2" t="s">
        <v>49</v>
      </c>
      <c r="AM17" s="2" t="s">
        <v>50</v>
      </c>
    </row>
    <row r="18" spans="1:39" x14ac:dyDescent="0.2">
      <c r="A18" s="1">
        <v>0</v>
      </c>
      <c r="B18" s="2">
        <v>2.17</v>
      </c>
      <c r="C18" s="2" t="s">
        <v>58</v>
      </c>
      <c r="D18" s="2" t="s">
        <v>44</v>
      </c>
      <c r="E18" s="2">
        <v>70.933456561922398</v>
      </c>
      <c r="F18" s="2">
        <v>3145</v>
      </c>
      <c r="G18" s="2">
        <v>71.346254583551598</v>
      </c>
      <c r="H18" s="2">
        <v>547</v>
      </c>
      <c r="I18" s="2" t="s">
        <v>91</v>
      </c>
      <c r="J18" s="2">
        <v>29.066543438077598</v>
      </c>
      <c r="K18" s="2">
        <v>62.445771396878001</v>
      </c>
      <c r="L18" s="2">
        <v>70.933456561922398</v>
      </c>
      <c r="M18" s="2">
        <v>84.754579879119106</v>
      </c>
      <c r="N18" s="2">
        <v>72.7898844030329</v>
      </c>
      <c r="O18" s="2">
        <v>70.933456561922398</v>
      </c>
      <c r="P18" s="2">
        <v>70.933456561922398</v>
      </c>
      <c r="Q18" s="2">
        <v>62.014258653932202</v>
      </c>
      <c r="R18" s="2">
        <v>70.933456561922398</v>
      </c>
      <c r="S18" s="2">
        <v>74.936293235105794</v>
      </c>
      <c r="T18" s="2">
        <v>28.653745416448398</v>
      </c>
      <c r="U18" s="2">
        <v>62.355408319977798</v>
      </c>
      <c r="V18" s="2">
        <v>71.346254583551598</v>
      </c>
      <c r="W18" s="2">
        <v>84.559321468140695</v>
      </c>
      <c r="X18" s="2">
        <v>72.417984832069294</v>
      </c>
      <c r="Y18" s="2">
        <v>71.346254583551598</v>
      </c>
      <c r="Z18" s="2">
        <v>71.346254583551598</v>
      </c>
      <c r="AA18" s="2">
        <v>62.123524212009301</v>
      </c>
      <c r="AB18" s="2">
        <v>71.346254583551598</v>
      </c>
      <c r="AC18" s="2">
        <v>75.252697702708005</v>
      </c>
      <c r="AD18" s="2">
        <v>79961.571148800998</v>
      </c>
      <c r="AE18" s="2">
        <v>9.3610520000000008</v>
      </c>
      <c r="AF18" s="2">
        <v>294056</v>
      </c>
      <c r="AG18" s="2">
        <v>109613</v>
      </c>
      <c r="AH18" s="2" t="s">
        <v>61</v>
      </c>
      <c r="AI18" s="3">
        <v>46305</v>
      </c>
      <c r="AJ18" s="2" t="s">
        <v>47</v>
      </c>
      <c r="AK18" s="2" t="s">
        <v>48</v>
      </c>
      <c r="AL18" s="2" t="s">
        <v>49</v>
      </c>
      <c r="AM18" s="2" t="s">
        <v>50</v>
      </c>
    </row>
    <row r="19" spans="1:39" x14ac:dyDescent="0.2">
      <c r="A19" s="1">
        <v>0</v>
      </c>
      <c r="B19" s="2">
        <v>2.1800000000000002</v>
      </c>
      <c r="C19" s="2" t="s">
        <v>62</v>
      </c>
      <c r="D19" s="2" t="s">
        <v>44</v>
      </c>
      <c r="E19" s="2">
        <v>85.517560073937105</v>
      </c>
      <c r="F19" s="2">
        <v>1567</v>
      </c>
      <c r="G19" s="2">
        <v>86.013619696175994</v>
      </c>
      <c r="H19" s="2">
        <v>267</v>
      </c>
      <c r="I19" s="2" t="s">
        <v>92</v>
      </c>
      <c r="J19" s="2">
        <v>14.4824399260629</v>
      </c>
      <c r="K19" s="2">
        <v>71.098992766490397</v>
      </c>
      <c r="L19" s="2">
        <v>85.517560073937105</v>
      </c>
      <c r="M19" s="2">
        <v>82.049146462487798</v>
      </c>
      <c r="N19" s="2">
        <v>56.052671859403702</v>
      </c>
      <c r="O19" s="2">
        <v>85.517560073937105</v>
      </c>
      <c r="P19" s="2">
        <v>85.517560073937105</v>
      </c>
      <c r="Q19" s="2">
        <v>57.238485680667999</v>
      </c>
      <c r="R19" s="2">
        <v>85.517560073937105</v>
      </c>
      <c r="S19" s="2">
        <v>81.651242708883998</v>
      </c>
      <c r="T19" s="2">
        <v>13.986380303823999</v>
      </c>
      <c r="U19" s="2">
        <v>74.457079801989295</v>
      </c>
      <c r="V19" s="2">
        <v>86.013619696175994</v>
      </c>
      <c r="W19" s="2">
        <v>83.2274929305147</v>
      </c>
      <c r="X19" s="2">
        <v>56.915709642470198</v>
      </c>
      <c r="Y19" s="2">
        <v>86.013619696175994</v>
      </c>
      <c r="Z19" s="2">
        <v>86.013619696175994</v>
      </c>
      <c r="AA19" s="2">
        <v>58.5393272136428</v>
      </c>
      <c r="AB19" s="2">
        <v>86.013619696175994</v>
      </c>
      <c r="AC19" s="2">
        <v>82.247838294129906</v>
      </c>
      <c r="AD19" s="2">
        <v>224607.14508126999</v>
      </c>
      <c r="AE19" s="2">
        <v>31.290209000000001</v>
      </c>
      <c r="AF19" s="2">
        <v>8084</v>
      </c>
      <c r="AG19" s="2">
        <v>5630</v>
      </c>
      <c r="AH19" s="2" t="s">
        <v>63</v>
      </c>
      <c r="AI19" s="3">
        <v>46305</v>
      </c>
      <c r="AJ19" s="2" t="s">
        <v>47</v>
      </c>
      <c r="AK19" s="2" t="s">
        <v>48</v>
      </c>
      <c r="AL19" s="2" t="s">
        <v>49</v>
      </c>
      <c r="AM19" s="2" t="s">
        <v>50</v>
      </c>
    </row>
    <row r="20" spans="1:39" x14ac:dyDescent="0.2">
      <c r="A20" s="1">
        <v>0</v>
      </c>
      <c r="B20" s="2">
        <v>2.19</v>
      </c>
      <c r="C20" s="2" t="s">
        <v>62</v>
      </c>
      <c r="D20" s="2" t="s">
        <v>44</v>
      </c>
      <c r="E20" s="2">
        <v>84.593345656192199</v>
      </c>
      <c r="F20" s="2">
        <v>1667</v>
      </c>
      <c r="G20" s="2">
        <v>85.5421686746988</v>
      </c>
      <c r="H20" s="2">
        <v>276</v>
      </c>
      <c r="I20" s="2" t="s">
        <v>93</v>
      </c>
      <c r="J20" s="2">
        <v>15.4066543438078</v>
      </c>
      <c r="K20" s="2">
        <v>66.5362924299572</v>
      </c>
      <c r="L20" s="2">
        <v>84.593345656192199</v>
      </c>
      <c r="M20" s="2">
        <v>81.013955117996204</v>
      </c>
      <c r="N20" s="2">
        <v>57.607825108385597</v>
      </c>
      <c r="O20" s="2">
        <v>84.593345656192199</v>
      </c>
      <c r="P20" s="2">
        <v>84.593345656192199</v>
      </c>
      <c r="Q20" s="2">
        <v>59.216595149817998</v>
      </c>
      <c r="R20" s="2">
        <v>84.593345656192199</v>
      </c>
      <c r="S20" s="2">
        <v>81.801457111905705</v>
      </c>
      <c r="T20" s="2">
        <v>14.4578313253012</v>
      </c>
      <c r="U20" s="2">
        <v>70.591728670245601</v>
      </c>
      <c r="V20" s="2">
        <v>85.5421686746988</v>
      </c>
      <c r="W20" s="2">
        <v>82.405835945420506</v>
      </c>
      <c r="X20" s="2">
        <v>58.527518959913301</v>
      </c>
      <c r="Y20" s="2">
        <v>85.5421686746988</v>
      </c>
      <c r="Z20" s="2">
        <v>85.5421686746988</v>
      </c>
      <c r="AA20" s="2">
        <v>60.589713670227098</v>
      </c>
      <c r="AB20" s="2">
        <v>85.5421686746988</v>
      </c>
      <c r="AC20" s="2">
        <v>82.618181188987194</v>
      </c>
      <c r="AD20" s="2">
        <v>350422.64468698401</v>
      </c>
      <c r="AE20" s="2">
        <v>44.940085000000003</v>
      </c>
      <c r="AF20" s="2">
        <v>10004</v>
      </c>
      <c r="AG20" s="2">
        <v>7550</v>
      </c>
      <c r="AH20" s="2" t="s">
        <v>64</v>
      </c>
      <c r="AI20" s="3">
        <v>46305</v>
      </c>
      <c r="AJ20" s="2" t="s">
        <v>47</v>
      </c>
      <c r="AK20" s="2" t="s">
        <v>48</v>
      </c>
      <c r="AL20" s="2" t="s">
        <v>49</v>
      </c>
      <c r="AM20" s="2" t="s">
        <v>50</v>
      </c>
    </row>
    <row r="21" spans="1:39" x14ac:dyDescent="0.2">
      <c r="A21" s="1">
        <v>0</v>
      </c>
      <c r="B21" s="2">
        <v>2.2000000000000002</v>
      </c>
      <c r="C21" s="2" t="s">
        <v>45</v>
      </c>
      <c r="D21" s="2" t="s">
        <v>44</v>
      </c>
      <c r="E21" s="2">
        <v>85.693160813308694</v>
      </c>
      <c r="F21" s="2">
        <v>1548</v>
      </c>
      <c r="G21" s="2">
        <v>86.223153483499203</v>
      </c>
      <c r="H21" s="2">
        <v>263</v>
      </c>
      <c r="I21" s="2" t="s">
        <v>94</v>
      </c>
      <c r="J21" s="2">
        <v>14.306839186691301</v>
      </c>
      <c r="K21" s="2">
        <v>71.720203661508904</v>
      </c>
      <c r="L21" s="2">
        <v>85.693160813308694</v>
      </c>
      <c r="M21" s="2">
        <v>82.546252470675697</v>
      </c>
      <c r="N21" s="2">
        <v>57.665494240632299</v>
      </c>
      <c r="O21" s="2">
        <v>85.693160813308694</v>
      </c>
      <c r="P21" s="2">
        <v>85.693160813308694</v>
      </c>
      <c r="Q21" s="2">
        <v>59.525402103309602</v>
      </c>
      <c r="R21" s="2">
        <v>85.693160813308694</v>
      </c>
      <c r="S21" s="2">
        <v>82.372562466660497</v>
      </c>
      <c r="T21" s="2">
        <v>13.7768465165008</v>
      </c>
      <c r="U21" s="2">
        <v>73.333242290989503</v>
      </c>
      <c r="V21" s="2">
        <v>86.223153483499203</v>
      </c>
      <c r="W21" s="2">
        <v>83.727331833476299</v>
      </c>
      <c r="X21" s="2">
        <v>61.106825568797397</v>
      </c>
      <c r="Y21" s="2">
        <v>86.223153483499203</v>
      </c>
      <c r="Z21" s="2">
        <v>86.223153483499203</v>
      </c>
      <c r="AA21" s="2">
        <v>63.835243254768301</v>
      </c>
      <c r="AB21" s="2">
        <v>86.223153483499203</v>
      </c>
      <c r="AC21" s="2">
        <v>83.823384144733794</v>
      </c>
      <c r="AD21" s="2">
        <v>813717.37986011896</v>
      </c>
      <c r="AE21" s="2">
        <v>0.78730199999999995</v>
      </c>
      <c r="AF21" s="2">
        <v>9311</v>
      </c>
      <c r="AG21" s="2">
        <v>4766</v>
      </c>
      <c r="AH21" s="2" t="s">
        <v>65</v>
      </c>
      <c r="AI21" s="3">
        <v>46305</v>
      </c>
      <c r="AJ21" s="2" t="s">
        <v>47</v>
      </c>
      <c r="AK21" s="2" t="s">
        <v>48</v>
      </c>
      <c r="AL21" s="2" t="s">
        <v>49</v>
      </c>
      <c r="AM21" s="2" t="s">
        <v>50</v>
      </c>
    </row>
    <row r="22" spans="1:39" x14ac:dyDescent="0.2">
      <c r="A22" s="1">
        <v>0</v>
      </c>
      <c r="B22" s="2">
        <v>2.2000000000000002</v>
      </c>
      <c r="C22" s="2" t="s">
        <v>62</v>
      </c>
      <c r="D22" s="2" t="s">
        <v>44</v>
      </c>
      <c r="E22" s="2">
        <v>80.092421441774505</v>
      </c>
      <c r="F22" s="2">
        <v>2154</v>
      </c>
      <c r="G22" s="2">
        <v>80.6181246726035</v>
      </c>
      <c r="H22" s="2">
        <v>370</v>
      </c>
      <c r="I22" s="2" t="s">
        <v>95</v>
      </c>
      <c r="J22" s="2">
        <v>19.907578558225499</v>
      </c>
      <c r="K22" s="2">
        <v>59.742150324490702</v>
      </c>
      <c r="L22" s="2">
        <v>80.092421441774505</v>
      </c>
      <c r="M22" s="2">
        <v>79.418914505611795</v>
      </c>
      <c r="N22" s="2">
        <v>59.082942225230802</v>
      </c>
      <c r="O22" s="2">
        <v>80.092421441774505</v>
      </c>
      <c r="P22" s="2">
        <v>80.092421441774505</v>
      </c>
      <c r="Q22" s="2">
        <v>59.383509519578197</v>
      </c>
      <c r="R22" s="2">
        <v>80.092421441774505</v>
      </c>
      <c r="S22" s="2">
        <v>79.743967060479406</v>
      </c>
      <c r="T22" s="2">
        <v>19.3818753273965</v>
      </c>
      <c r="U22" s="2">
        <v>59.234660863938601</v>
      </c>
      <c r="V22" s="2">
        <v>80.6181246726035</v>
      </c>
      <c r="W22" s="2">
        <v>78.969846663952097</v>
      </c>
      <c r="X22" s="2">
        <v>57.669230769230801</v>
      </c>
      <c r="Y22" s="2">
        <v>80.6181246726035</v>
      </c>
      <c r="Z22" s="2">
        <v>80.6181246726035</v>
      </c>
      <c r="AA22" s="2">
        <v>58.271301232607399</v>
      </c>
      <c r="AB22" s="2">
        <v>80.6181246726035</v>
      </c>
      <c r="AC22" s="2">
        <v>79.722332179661606</v>
      </c>
      <c r="AD22" s="2">
        <v>446277.58300680498</v>
      </c>
      <c r="AE22" s="2">
        <v>83.706233999999995</v>
      </c>
      <c r="AF22" s="2">
        <v>19604</v>
      </c>
      <c r="AG22" s="2">
        <v>17150</v>
      </c>
      <c r="AH22" s="2" t="s">
        <v>66</v>
      </c>
      <c r="AI22" s="3">
        <v>46305</v>
      </c>
      <c r="AJ22" s="2" t="s">
        <v>47</v>
      </c>
      <c r="AK22" s="2" t="s">
        <v>48</v>
      </c>
      <c r="AL22" s="2" t="s">
        <v>49</v>
      </c>
      <c r="AM22" s="2" t="s">
        <v>50</v>
      </c>
    </row>
    <row r="23" spans="1:39" x14ac:dyDescent="0.2">
      <c r="A23" s="1">
        <v>0</v>
      </c>
      <c r="B23" s="2">
        <v>2.21</v>
      </c>
      <c r="C23" s="2" t="s">
        <v>62</v>
      </c>
      <c r="D23" s="2" t="s">
        <v>44</v>
      </c>
      <c r="E23" s="2">
        <v>84.815157116451005</v>
      </c>
      <c r="F23" s="2">
        <v>1643</v>
      </c>
      <c r="G23" s="2">
        <v>85.175484546883197</v>
      </c>
      <c r="H23" s="2">
        <v>283</v>
      </c>
      <c r="I23" s="2" t="s">
        <v>96</v>
      </c>
      <c r="J23" s="2">
        <v>15.184842883549001</v>
      </c>
      <c r="K23" s="2">
        <v>67.169695816121305</v>
      </c>
      <c r="L23" s="2">
        <v>84.815157116451005</v>
      </c>
      <c r="M23" s="2">
        <v>81.070849522541593</v>
      </c>
      <c r="N23" s="2">
        <v>56.970527300675002</v>
      </c>
      <c r="O23" s="2">
        <v>84.815157116451005</v>
      </c>
      <c r="P23" s="2">
        <v>84.815157116451005</v>
      </c>
      <c r="Q23" s="2">
        <v>58.450015903849497</v>
      </c>
      <c r="R23" s="2">
        <v>84.815157116451005</v>
      </c>
      <c r="S23" s="2">
        <v>81.685845193897194</v>
      </c>
      <c r="T23" s="2">
        <v>14.824515453116801</v>
      </c>
      <c r="U23" s="2">
        <v>68.758196483491005</v>
      </c>
      <c r="V23" s="2">
        <v>85.175484546883197</v>
      </c>
      <c r="W23" s="2">
        <v>81.565400260692201</v>
      </c>
      <c r="X23" s="2">
        <v>57.004550379198299</v>
      </c>
      <c r="Y23" s="2">
        <v>85.175484546883197</v>
      </c>
      <c r="Z23" s="2">
        <v>85.175484546883197</v>
      </c>
      <c r="AA23" s="2">
        <v>58.550339463288203</v>
      </c>
      <c r="AB23" s="2">
        <v>85.175484546883197</v>
      </c>
      <c r="AC23" s="2">
        <v>81.886496036556693</v>
      </c>
      <c r="AD23" s="2">
        <v>182289.911719119</v>
      </c>
      <c r="AE23" s="2">
        <v>41.586708000000002</v>
      </c>
      <c r="AF23" s="2">
        <v>9856</v>
      </c>
      <c r="AG23" s="2">
        <v>6878</v>
      </c>
      <c r="AH23" s="2" t="s">
        <v>67</v>
      </c>
      <c r="AI23" s="3">
        <v>46305</v>
      </c>
      <c r="AJ23" s="2" t="s">
        <v>47</v>
      </c>
      <c r="AK23" s="2" t="s">
        <v>48</v>
      </c>
      <c r="AL23" s="2" t="s">
        <v>49</v>
      </c>
      <c r="AM23" s="2" t="s">
        <v>50</v>
      </c>
    </row>
    <row r="24" spans="1:39" x14ac:dyDescent="0.2">
      <c r="A24" s="1">
        <v>0</v>
      </c>
      <c r="B24" s="2">
        <v>2.2200000000000002</v>
      </c>
      <c r="C24" s="2" t="s">
        <v>62</v>
      </c>
      <c r="D24" s="2" t="s">
        <v>44</v>
      </c>
      <c r="E24" s="2">
        <v>84.399260628465797</v>
      </c>
      <c r="F24" s="2">
        <v>1688</v>
      </c>
      <c r="G24" s="2">
        <v>85.437401781037195</v>
      </c>
      <c r="H24" s="2">
        <v>278</v>
      </c>
      <c r="I24" s="2" t="s">
        <v>97</v>
      </c>
      <c r="J24" s="2">
        <v>15.6007393715342</v>
      </c>
      <c r="K24" s="2">
        <v>65.380324872981205</v>
      </c>
      <c r="L24" s="2">
        <v>84.399260628465797</v>
      </c>
      <c r="M24" s="2">
        <v>80.466773912106206</v>
      </c>
      <c r="N24" s="2">
        <v>56.572650710462099</v>
      </c>
      <c r="O24" s="2">
        <v>84.399260628465797</v>
      </c>
      <c r="P24" s="2">
        <v>84.399260628465797</v>
      </c>
      <c r="Q24" s="2">
        <v>57.871062406655803</v>
      </c>
      <c r="R24" s="2">
        <v>84.399260628465797</v>
      </c>
      <c r="S24" s="2">
        <v>81.340453705615602</v>
      </c>
      <c r="T24" s="2">
        <v>14.562598218962799</v>
      </c>
      <c r="U24" s="2">
        <v>70.0752236378422</v>
      </c>
      <c r="V24" s="2">
        <v>85.437401781037195</v>
      </c>
      <c r="W24" s="2">
        <v>82.477800934666107</v>
      </c>
      <c r="X24" s="2">
        <v>59.628277356446397</v>
      </c>
      <c r="Y24" s="2">
        <v>85.437401781037195</v>
      </c>
      <c r="Z24" s="2">
        <v>85.437401781037195</v>
      </c>
      <c r="AA24" s="2">
        <v>61.855126214708797</v>
      </c>
      <c r="AB24" s="2">
        <v>85.437401781037195</v>
      </c>
      <c r="AC24" s="2">
        <v>82.923634898550503</v>
      </c>
      <c r="AD24" s="2">
        <v>428107.937010366</v>
      </c>
      <c r="AE24" s="2">
        <v>58.458947000000002</v>
      </c>
      <c r="AF24" s="2">
        <v>11628</v>
      </c>
      <c r="AG24" s="2">
        <v>8126</v>
      </c>
      <c r="AH24" s="2" t="s">
        <v>68</v>
      </c>
      <c r="AI24" s="3">
        <v>46305</v>
      </c>
      <c r="AJ24" s="2" t="s">
        <v>47</v>
      </c>
      <c r="AK24" s="2" t="s">
        <v>48</v>
      </c>
      <c r="AL24" s="2" t="s">
        <v>49</v>
      </c>
      <c r="AM24" s="2" t="s">
        <v>50</v>
      </c>
    </row>
    <row r="25" spans="1:39" x14ac:dyDescent="0.2">
      <c r="A25" s="1">
        <v>0</v>
      </c>
      <c r="B25" s="2">
        <v>2.23</v>
      </c>
      <c r="C25" s="2" t="s">
        <v>69</v>
      </c>
      <c r="D25" s="2" t="s">
        <v>44</v>
      </c>
      <c r="E25" s="2">
        <v>85.101663585951897</v>
      </c>
      <c r="F25" s="2">
        <v>1612</v>
      </c>
      <c r="G25" s="2">
        <v>85.123101100052395</v>
      </c>
      <c r="H25" s="2">
        <v>284</v>
      </c>
      <c r="I25" s="2" t="s">
        <v>98</v>
      </c>
      <c r="J25" s="2">
        <v>14.898336414048099</v>
      </c>
      <c r="K25" s="2" t="s">
        <v>52</v>
      </c>
      <c r="L25" s="2">
        <v>85.101663585951897</v>
      </c>
      <c r="M25" s="2" t="s">
        <v>52</v>
      </c>
      <c r="N25" s="2">
        <v>50</v>
      </c>
      <c r="O25" s="2">
        <v>85.101663585951897</v>
      </c>
      <c r="P25" s="2">
        <v>85.101663585951897</v>
      </c>
      <c r="Q25" s="2">
        <v>45.975634112242901</v>
      </c>
      <c r="R25" s="2">
        <v>85.101663585951897</v>
      </c>
      <c r="S25" s="2">
        <v>78.252058947418206</v>
      </c>
      <c r="T25" s="2">
        <v>14.8768988999476</v>
      </c>
      <c r="U25" s="2" t="s">
        <v>52</v>
      </c>
      <c r="V25" s="2">
        <v>85.123101100052395</v>
      </c>
      <c r="W25" s="2" t="s">
        <v>52</v>
      </c>
      <c r="X25" s="2">
        <v>50</v>
      </c>
      <c r="Y25" s="2">
        <v>85.123101100052395</v>
      </c>
      <c r="Z25" s="2">
        <v>85.123101100052395</v>
      </c>
      <c r="AA25" s="2">
        <v>45.9818902093945</v>
      </c>
      <c r="AB25" s="2">
        <v>85.123101100052395</v>
      </c>
      <c r="AC25" s="2">
        <v>78.282421781315904</v>
      </c>
      <c r="AD25" s="2">
        <v>98702.815128350194</v>
      </c>
      <c r="AE25" s="2">
        <v>38.379809000000002</v>
      </c>
      <c r="AF25" s="2">
        <v>13438</v>
      </c>
      <c r="AG25" s="2">
        <v>14120</v>
      </c>
      <c r="AH25" s="2" t="s">
        <v>70</v>
      </c>
      <c r="AI25" s="3">
        <v>46305</v>
      </c>
      <c r="AJ25" s="2" t="s">
        <v>47</v>
      </c>
      <c r="AK25" s="2" t="s">
        <v>48</v>
      </c>
      <c r="AL25" s="2" t="s">
        <v>49</v>
      </c>
      <c r="AM25" s="2" t="s">
        <v>50</v>
      </c>
    </row>
    <row r="26" spans="1:39" x14ac:dyDescent="0.2">
      <c r="A26" s="1">
        <v>0</v>
      </c>
      <c r="B26" s="2">
        <v>2.2400000000000002</v>
      </c>
      <c r="C26" s="2" t="s">
        <v>69</v>
      </c>
      <c r="D26" s="2" t="s">
        <v>44</v>
      </c>
      <c r="E26" s="2">
        <v>85.138632162661693</v>
      </c>
      <c r="F26" s="2">
        <v>1608</v>
      </c>
      <c r="G26" s="2">
        <v>84.965950759560002</v>
      </c>
      <c r="H26" s="2">
        <v>287</v>
      </c>
      <c r="I26" s="2" t="s">
        <v>99</v>
      </c>
      <c r="J26" s="2">
        <v>14.8613678373383</v>
      </c>
      <c r="K26" s="2">
        <v>68.969632738018504</v>
      </c>
      <c r="L26" s="2">
        <v>85.138632162661693</v>
      </c>
      <c r="M26" s="2">
        <v>80.4868607602981</v>
      </c>
      <c r="N26" s="2">
        <v>51.070799908591702</v>
      </c>
      <c r="O26" s="2">
        <v>85.138632162661693</v>
      </c>
      <c r="P26" s="2">
        <v>85.138632162661693</v>
      </c>
      <c r="Q26" s="2">
        <v>48.395960314988699</v>
      </c>
      <c r="R26" s="2">
        <v>85.138632162661693</v>
      </c>
      <c r="S26" s="2">
        <v>78.965219390007803</v>
      </c>
      <c r="T26" s="2">
        <v>15.03404924044</v>
      </c>
      <c r="U26" s="2">
        <v>64.145732445520594</v>
      </c>
      <c r="V26" s="2">
        <v>84.965950759560002</v>
      </c>
      <c r="W26" s="2">
        <v>79.100158133322793</v>
      </c>
      <c r="X26" s="2">
        <v>51.215276273022702</v>
      </c>
      <c r="Y26" s="2">
        <v>84.965950759560002</v>
      </c>
      <c r="Z26" s="2">
        <v>84.965950759560002</v>
      </c>
      <c r="AA26" s="2">
        <v>48.865991889609099</v>
      </c>
      <c r="AB26" s="2">
        <v>84.965950759560002</v>
      </c>
      <c r="AC26" s="2">
        <v>79.046817852579196</v>
      </c>
      <c r="AD26" s="2">
        <v>109432.206646843</v>
      </c>
      <c r="AE26" s="2">
        <v>37.844614</v>
      </c>
      <c r="AF26" s="2">
        <v>13472</v>
      </c>
      <c r="AG26" s="2">
        <v>14120</v>
      </c>
      <c r="AH26" s="2" t="s">
        <v>71</v>
      </c>
      <c r="AI26" s="3">
        <v>46305</v>
      </c>
      <c r="AJ26" s="2" t="s">
        <v>47</v>
      </c>
      <c r="AK26" s="2" t="s">
        <v>48</v>
      </c>
      <c r="AL26" s="2" t="s">
        <v>49</v>
      </c>
      <c r="AM26" s="2" t="s">
        <v>50</v>
      </c>
    </row>
    <row r="27" spans="1:39" x14ac:dyDescent="0.2">
      <c r="A27" s="1">
        <v>0</v>
      </c>
      <c r="B27" s="2">
        <v>2.2999999999999998</v>
      </c>
      <c r="C27" s="2" t="s">
        <v>45</v>
      </c>
      <c r="D27" s="2" t="s">
        <v>44</v>
      </c>
      <c r="E27" s="2">
        <v>85.369685767098005</v>
      </c>
      <c r="F27" s="2">
        <v>1583</v>
      </c>
      <c r="G27" s="2">
        <v>85.280251440544802</v>
      </c>
      <c r="H27" s="2">
        <v>281</v>
      </c>
      <c r="I27" s="2" t="s">
        <v>100</v>
      </c>
      <c r="J27" s="2">
        <v>14.630314232902</v>
      </c>
      <c r="K27" s="2">
        <v>80.889667694126601</v>
      </c>
      <c r="L27" s="2">
        <v>85.369685767098005</v>
      </c>
      <c r="M27" s="2">
        <v>84.067092276973497</v>
      </c>
      <c r="N27" s="2">
        <v>51.232138737919101</v>
      </c>
      <c r="O27" s="2">
        <v>85.369685767098005</v>
      </c>
      <c r="P27" s="2">
        <v>85.369685767098005</v>
      </c>
      <c r="Q27" s="2">
        <v>48.556646253486001</v>
      </c>
      <c r="R27" s="2">
        <v>85.369685767098005</v>
      </c>
      <c r="S27" s="2">
        <v>79.107487305097095</v>
      </c>
      <c r="T27" s="2">
        <v>14.7197485594552</v>
      </c>
      <c r="U27" s="2">
        <v>92.628541448058797</v>
      </c>
      <c r="V27" s="2">
        <v>85.280251440544802</v>
      </c>
      <c r="W27" s="2">
        <v>87.450371768565205</v>
      </c>
      <c r="X27" s="2">
        <v>50.528169014084497</v>
      </c>
      <c r="Y27" s="2">
        <v>85.280251440544802</v>
      </c>
      <c r="Z27" s="2">
        <v>85.280251440544802</v>
      </c>
      <c r="AA27" s="2">
        <v>47.066253403157901</v>
      </c>
      <c r="AB27" s="2">
        <v>85.280251440544802</v>
      </c>
      <c r="AC27" s="2">
        <v>78.659947218284799</v>
      </c>
      <c r="AD27" s="2">
        <v>811459.42702864902</v>
      </c>
      <c r="AE27" s="2">
        <v>1.351553</v>
      </c>
      <c r="AF27" s="2">
        <v>5899</v>
      </c>
      <c r="AG27" s="2">
        <v>3722</v>
      </c>
      <c r="AH27" s="2" t="s">
        <v>72</v>
      </c>
      <c r="AI27" s="3">
        <v>46305</v>
      </c>
      <c r="AJ27" s="2" t="s">
        <v>47</v>
      </c>
      <c r="AK27" s="2" t="s">
        <v>48</v>
      </c>
      <c r="AL27" s="2" t="s">
        <v>49</v>
      </c>
      <c r="AM27" s="2" t="s">
        <v>50</v>
      </c>
    </row>
    <row r="28" spans="1:39" x14ac:dyDescent="0.2">
      <c r="A28" s="1">
        <v>0</v>
      </c>
      <c r="B28" s="2">
        <v>2.4</v>
      </c>
      <c r="C28" s="2" t="s">
        <v>73</v>
      </c>
      <c r="D28" s="2" t="s">
        <v>44</v>
      </c>
      <c r="E28" s="2">
        <v>85.637707948244</v>
      </c>
      <c r="F28" s="2">
        <v>1554</v>
      </c>
      <c r="G28" s="2">
        <v>86.013619696175994</v>
      </c>
      <c r="H28" s="2">
        <v>267</v>
      </c>
      <c r="I28" s="2" t="s">
        <v>73</v>
      </c>
      <c r="J28" s="2">
        <v>14.362292051756</v>
      </c>
      <c r="K28" s="2">
        <v>72.247718348058996</v>
      </c>
      <c r="L28" s="2">
        <v>85.637707948244</v>
      </c>
      <c r="M28" s="2">
        <v>82.334029435227293</v>
      </c>
      <c r="N28" s="2">
        <v>55.7650403252755</v>
      </c>
      <c r="O28" s="2">
        <v>85.637707948244</v>
      </c>
      <c r="P28" s="2">
        <v>85.637707948244</v>
      </c>
      <c r="Q28" s="2">
        <v>56.805388575480102</v>
      </c>
      <c r="R28" s="2">
        <v>85.637707948244</v>
      </c>
      <c r="S28" s="2">
        <v>81.580309158683093</v>
      </c>
      <c r="T28" s="2">
        <v>13.986380303823999</v>
      </c>
      <c r="U28" s="2">
        <v>74.610507246376798</v>
      </c>
      <c r="V28" s="2">
        <v>86.013619696175994</v>
      </c>
      <c r="W28" s="2">
        <v>83.244936266806306</v>
      </c>
      <c r="X28" s="2">
        <v>56.770422535211303</v>
      </c>
      <c r="Y28" s="2">
        <v>86.013619696175994</v>
      </c>
      <c r="Z28" s="2">
        <v>86.013619696175994</v>
      </c>
      <c r="AA28" s="2">
        <v>58.328489263333502</v>
      </c>
      <c r="AB28" s="2">
        <v>86.013619696175994</v>
      </c>
      <c r="AC28" s="2">
        <v>82.1882321363681</v>
      </c>
      <c r="AD28" s="2">
        <v>626302.38481129904</v>
      </c>
      <c r="AE28" s="2">
        <v>2.4964750000000002</v>
      </c>
      <c r="AF28" s="2">
        <v>2486822</v>
      </c>
      <c r="AG28" s="2">
        <v>6001</v>
      </c>
      <c r="AH28" s="2" t="s">
        <v>47</v>
      </c>
      <c r="AI28" s="3">
        <v>46305</v>
      </c>
      <c r="AJ28" s="2" t="s">
        <v>47</v>
      </c>
      <c r="AK28" s="2" t="s">
        <v>48</v>
      </c>
      <c r="AL28" s="2" t="s">
        <v>49</v>
      </c>
      <c r="AM28" s="2" t="s">
        <v>50</v>
      </c>
    </row>
    <row r="29" spans="1:39" x14ac:dyDescent="0.2">
      <c r="A29" s="1">
        <v>0</v>
      </c>
      <c r="B29" s="2">
        <v>2.5</v>
      </c>
      <c r="C29" s="2" t="s">
        <v>74</v>
      </c>
      <c r="D29" s="2" t="s">
        <v>44</v>
      </c>
      <c r="E29" s="2">
        <v>85.101663585951897</v>
      </c>
      <c r="F29" s="2">
        <v>1612</v>
      </c>
      <c r="G29" s="2">
        <v>85.123101100052395</v>
      </c>
      <c r="H29" s="2">
        <v>284</v>
      </c>
      <c r="I29" s="2" t="s">
        <v>74</v>
      </c>
      <c r="J29" s="2">
        <v>14.898336414048099</v>
      </c>
      <c r="K29" s="2" t="s">
        <v>52</v>
      </c>
      <c r="L29" s="2">
        <v>85.101663585951897</v>
      </c>
      <c r="M29" s="2" t="s">
        <v>52</v>
      </c>
      <c r="N29" s="2">
        <v>50</v>
      </c>
      <c r="O29" s="2">
        <v>85.101663585951897</v>
      </c>
      <c r="P29" s="2">
        <v>85.101663585951897</v>
      </c>
      <c r="Q29" s="2">
        <v>45.975634112242901</v>
      </c>
      <c r="R29" s="2">
        <v>85.101663585951897</v>
      </c>
      <c r="S29" s="2">
        <v>78.252058947418206</v>
      </c>
      <c r="T29" s="2">
        <v>14.8768988999476</v>
      </c>
      <c r="U29" s="2" t="s">
        <v>52</v>
      </c>
      <c r="V29" s="2">
        <v>85.123101100052395</v>
      </c>
      <c r="W29" s="2" t="s">
        <v>52</v>
      </c>
      <c r="X29" s="2">
        <v>50</v>
      </c>
      <c r="Y29" s="2">
        <v>85.123101100052395</v>
      </c>
      <c r="Z29" s="2">
        <v>85.123101100052395</v>
      </c>
      <c r="AA29" s="2">
        <v>45.9818902093945</v>
      </c>
      <c r="AB29" s="2">
        <v>85.123101100052395</v>
      </c>
      <c r="AC29" s="2">
        <v>78.282421781315904</v>
      </c>
      <c r="AD29" s="2">
        <v>758712.57275085896</v>
      </c>
      <c r="AE29" s="2">
        <v>0.69045100000000004</v>
      </c>
      <c r="AF29" s="2">
        <v>11632</v>
      </c>
      <c r="AG29" s="2">
        <v>3496</v>
      </c>
      <c r="AH29" s="2" t="s">
        <v>75</v>
      </c>
      <c r="AI29" s="3">
        <v>46305</v>
      </c>
      <c r="AJ29" s="2" t="s">
        <v>47</v>
      </c>
      <c r="AK29" s="2" t="s">
        <v>48</v>
      </c>
      <c r="AL29" s="2" t="s">
        <v>49</v>
      </c>
      <c r="AM29" s="2" t="s">
        <v>50</v>
      </c>
    </row>
    <row r="30" spans="1:39" x14ac:dyDescent="0.2">
      <c r="A30" s="1">
        <v>0</v>
      </c>
      <c r="B30" s="2">
        <v>2.6</v>
      </c>
      <c r="C30" s="2" t="s">
        <v>76</v>
      </c>
      <c r="D30" s="2" t="s">
        <v>44</v>
      </c>
      <c r="E30" s="2">
        <v>85.101663585951897</v>
      </c>
      <c r="F30" s="2">
        <v>1612</v>
      </c>
      <c r="G30" s="2">
        <v>85.123101100052395</v>
      </c>
      <c r="H30" s="2">
        <v>284</v>
      </c>
      <c r="I30" s="2" t="s">
        <v>76</v>
      </c>
      <c r="J30" s="2">
        <v>14.898336414048099</v>
      </c>
      <c r="K30" s="2" t="s">
        <v>52</v>
      </c>
      <c r="L30" s="2">
        <v>85.101663585951897</v>
      </c>
      <c r="M30" s="2" t="s">
        <v>52</v>
      </c>
      <c r="N30" s="2">
        <v>50</v>
      </c>
      <c r="O30" s="2">
        <v>85.101663585951897</v>
      </c>
      <c r="P30" s="2">
        <v>85.101663585951897</v>
      </c>
      <c r="Q30" s="2">
        <v>45.975634112242901</v>
      </c>
      <c r="R30" s="2">
        <v>85.101663585951897</v>
      </c>
      <c r="S30" s="2">
        <v>78.252058947418206</v>
      </c>
      <c r="T30" s="2">
        <v>14.8768988999476</v>
      </c>
      <c r="U30" s="2" t="s">
        <v>52</v>
      </c>
      <c r="V30" s="2">
        <v>85.123101100052395</v>
      </c>
      <c r="W30" s="2" t="s">
        <v>52</v>
      </c>
      <c r="X30" s="2">
        <v>50</v>
      </c>
      <c r="Y30" s="2">
        <v>85.123101100052395</v>
      </c>
      <c r="Z30" s="2">
        <v>85.123101100052395</v>
      </c>
      <c r="AA30" s="2">
        <v>45.9818902093945</v>
      </c>
      <c r="AB30" s="2">
        <v>85.123101100052395</v>
      </c>
      <c r="AC30" s="2">
        <v>78.282421781315904</v>
      </c>
      <c r="AD30" s="2">
        <v>734854.65906003804</v>
      </c>
      <c r="AE30" s="2">
        <v>1.359405</v>
      </c>
      <c r="AF30" s="2">
        <v>11590</v>
      </c>
      <c r="AG30" s="2">
        <v>3496</v>
      </c>
      <c r="AH30" s="2" t="s">
        <v>77</v>
      </c>
      <c r="AI30" s="3">
        <v>46305</v>
      </c>
      <c r="AJ30" s="2" t="s">
        <v>47</v>
      </c>
      <c r="AK30" s="2" t="s">
        <v>48</v>
      </c>
      <c r="AL30" s="2" t="s">
        <v>49</v>
      </c>
      <c r="AM30" s="2" t="s">
        <v>50</v>
      </c>
    </row>
    <row r="31" spans="1:39" x14ac:dyDescent="0.2">
      <c r="A31" s="1">
        <v>0</v>
      </c>
      <c r="B31" s="2">
        <v>2.7</v>
      </c>
      <c r="C31" s="2" t="s">
        <v>78</v>
      </c>
      <c r="D31" s="2" t="s">
        <v>44</v>
      </c>
      <c r="E31" s="2">
        <v>83.696857670979696</v>
      </c>
      <c r="F31" s="2">
        <v>1764</v>
      </c>
      <c r="G31" s="2">
        <v>83.603981141959096</v>
      </c>
      <c r="H31" s="2">
        <v>313</v>
      </c>
      <c r="I31" s="2" t="s">
        <v>101</v>
      </c>
      <c r="J31" s="2">
        <v>16.3031423290203</v>
      </c>
      <c r="K31" s="2">
        <v>65.162565478129096</v>
      </c>
      <c r="L31" s="2">
        <v>83.696857670979696</v>
      </c>
      <c r="M31" s="2">
        <v>81.131994186941796</v>
      </c>
      <c r="N31" s="2">
        <v>60.049237042770002</v>
      </c>
      <c r="O31" s="2">
        <v>83.696857670979696</v>
      </c>
      <c r="P31" s="2">
        <v>83.696857670979696</v>
      </c>
      <c r="Q31" s="2">
        <v>61.622845908683203</v>
      </c>
      <c r="R31" s="2">
        <v>83.696857670979696</v>
      </c>
      <c r="S31" s="2">
        <v>82.055967203638602</v>
      </c>
      <c r="T31" s="2">
        <v>16.3960188580409</v>
      </c>
      <c r="U31" s="2">
        <v>65.357742430281306</v>
      </c>
      <c r="V31" s="2">
        <v>83.603981141959096</v>
      </c>
      <c r="W31" s="2">
        <v>81.423537645225494</v>
      </c>
      <c r="X31" s="2">
        <v>61.021235102925203</v>
      </c>
      <c r="Y31" s="2">
        <v>83.603981141959096</v>
      </c>
      <c r="Z31" s="2">
        <v>83.603981141959096</v>
      </c>
      <c r="AA31" s="2">
        <v>62.506549401784703</v>
      </c>
      <c r="AB31" s="2">
        <v>83.603981141959096</v>
      </c>
      <c r="AC31" s="2">
        <v>82.263292393107307</v>
      </c>
      <c r="AD31" s="2">
        <v>514503.090822634</v>
      </c>
      <c r="AE31" s="2">
        <v>1.118431</v>
      </c>
      <c r="AF31" s="2">
        <v>8976</v>
      </c>
      <c r="AG31" s="2">
        <v>7327</v>
      </c>
      <c r="AH31" s="2" t="s">
        <v>79</v>
      </c>
      <c r="AI31" s="3">
        <v>46305</v>
      </c>
      <c r="AJ31" s="2" t="s">
        <v>47</v>
      </c>
      <c r="AK31" s="2" t="s">
        <v>48</v>
      </c>
      <c r="AL31" s="2" t="s">
        <v>49</v>
      </c>
      <c r="AM31" s="2" t="s">
        <v>50</v>
      </c>
    </row>
    <row r="32" spans="1:39" x14ac:dyDescent="0.2">
      <c r="A32" s="1">
        <v>0</v>
      </c>
      <c r="B32" s="2">
        <v>2.8</v>
      </c>
      <c r="C32" s="2" t="s">
        <v>78</v>
      </c>
      <c r="D32" s="2" t="s">
        <v>44</v>
      </c>
      <c r="E32" s="2">
        <v>84.094269870610006</v>
      </c>
      <c r="F32" s="2">
        <v>1721</v>
      </c>
      <c r="G32" s="2">
        <v>83.865898376113194</v>
      </c>
      <c r="H32" s="2">
        <v>308</v>
      </c>
      <c r="I32" s="2" t="s">
        <v>102</v>
      </c>
      <c r="J32" s="2">
        <v>15.905730129389999</v>
      </c>
      <c r="K32" s="2">
        <v>65.584864989988702</v>
      </c>
      <c r="L32" s="2">
        <v>84.094269870610006</v>
      </c>
      <c r="M32" s="2">
        <v>81.011399933284594</v>
      </c>
      <c r="N32" s="2">
        <v>58.926602285637898</v>
      </c>
      <c r="O32" s="2">
        <v>84.094269870610006</v>
      </c>
      <c r="P32" s="2">
        <v>84.094269870610006</v>
      </c>
      <c r="Q32" s="2">
        <v>60.603663809632103</v>
      </c>
      <c r="R32" s="2">
        <v>84.094269870610006</v>
      </c>
      <c r="S32" s="2">
        <v>81.960293808337994</v>
      </c>
      <c r="T32" s="2">
        <v>16.134101623886899</v>
      </c>
      <c r="U32" s="2">
        <v>65.340116517600705</v>
      </c>
      <c r="V32" s="2">
        <v>83.865898376113194</v>
      </c>
      <c r="W32" s="2">
        <v>81.133551655722201</v>
      </c>
      <c r="X32" s="2">
        <v>59.722210184182003</v>
      </c>
      <c r="Y32" s="2">
        <v>83.865898376113194</v>
      </c>
      <c r="Z32" s="2">
        <v>83.865898376113194</v>
      </c>
      <c r="AA32" s="2">
        <v>61.354040141130199</v>
      </c>
      <c r="AB32" s="2">
        <v>83.865898376113194</v>
      </c>
      <c r="AC32" s="2">
        <v>82.073602181701304</v>
      </c>
      <c r="AD32" s="2">
        <v>868.32313080405197</v>
      </c>
      <c r="AE32" s="2">
        <v>48.818486999999998</v>
      </c>
      <c r="AF32" s="2">
        <v>3155968</v>
      </c>
      <c r="AG32" s="2">
        <v>1565693</v>
      </c>
      <c r="AH32" s="2" t="s">
        <v>80</v>
      </c>
      <c r="AI32" s="3">
        <v>46305</v>
      </c>
      <c r="AJ32" s="2" t="s">
        <v>47</v>
      </c>
      <c r="AK32" s="2" t="s">
        <v>48</v>
      </c>
      <c r="AL32" s="2" t="s">
        <v>49</v>
      </c>
      <c r="AM32" s="2" t="s">
        <v>50</v>
      </c>
    </row>
    <row r="33" spans="1:39" x14ac:dyDescent="0.2">
      <c r="A33" s="1">
        <v>0</v>
      </c>
      <c r="B33" s="2">
        <v>2.9</v>
      </c>
      <c r="C33" s="2" t="s">
        <v>51</v>
      </c>
      <c r="D33" s="2" t="s">
        <v>44</v>
      </c>
      <c r="E33" s="2">
        <v>85.101663585951897</v>
      </c>
      <c r="F33" s="2">
        <v>1612</v>
      </c>
      <c r="G33" s="2">
        <v>85.123101100052395</v>
      </c>
      <c r="H33" s="2">
        <v>284</v>
      </c>
      <c r="I33" s="2" t="s">
        <v>103</v>
      </c>
      <c r="J33" s="2">
        <v>14.898336414048099</v>
      </c>
      <c r="K33" s="2" t="s">
        <v>52</v>
      </c>
      <c r="L33" s="2">
        <v>85.101663585951897</v>
      </c>
      <c r="M33" s="2" t="s">
        <v>52</v>
      </c>
      <c r="N33" s="2">
        <v>50</v>
      </c>
      <c r="O33" s="2">
        <v>85.101663585951897</v>
      </c>
      <c r="P33" s="2">
        <v>85.101663585951897</v>
      </c>
      <c r="Q33" s="2">
        <v>45.975634112242901</v>
      </c>
      <c r="R33" s="2">
        <v>85.101663585951897</v>
      </c>
      <c r="S33" s="2">
        <v>78.252058947418206</v>
      </c>
      <c r="T33" s="2">
        <v>14.8768988999476</v>
      </c>
      <c r="U33" s="2" t="s">
        <v>52</v>
      </c>
      <c r="V33" s="2">
        <v>85.123101100052395</v>
      </c>
      <c r="W33" s="2" t="s">
        <v>52</v>
      </c>
      <c r="X33" s="2">
        <v>50</v>
      </c>
      <c r="Y33" s="2">
        <v>85.123101100052395</v>
      </c>
      <c r="Z33" s="2">
        <v>85.123101100052395</v>
      </c>
      <c r="AA33" s="2">
        <v>45.9818902093945</v>
      </c>
      <c r="AB33" s="2">
        <v>85.123101100052395</v>
      </c>
      <c r="AC33" s="2">
        <v>78.282421781315904</v>
      </c>
      <c r="AD33" s="2">
        <v>121267.82031740301</v>
      </c>
      <c r="AE33" s="2">
        <v>6.7619150000000001</v>
      </c>
      <c r="AF33" s="2">
        <v>401619</v>
      </c>
      <c r="AG33" s="2">
        <v>399530</v>
      </c>
      <c r="AH33" s="2" t="s">
        <v>81</v>
      </c>
      <c r="AI33" s="3">
        <v>46305</v>
      </c>
      <c r="AJ33" s="2" t="s">
        <v>47</v>
      </c>
      <c r="AK33" s="2" t="s">
        <v>48</v>
      </c>
      <c r="AL33" s="2" t="s">
        <v>49</v>
      </c>
      <c r="AM33" s="2" t="s">
        <v>50</v>
      </c>
    </row>
  </sheetData>
  <sortState xmlns:xlrd2="http://schemas.microsoft.com/office/spreadsheetml/2017/richdata2" ref="A10:AM33">
    <sortCondition ref="B10:B33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EE1C-A58B-1646-A44D-BADFC21EA715}">
  <dimension ref="A1:AM33"/>
  <sheetViews>
    <sheetView workbookViewId="0">
      <selection activeCell="D10" sqref="D10"/>
    </sheetView>
  </sheetViews>
  <sheetFormatPr baseColWidth="10" defaultColWidth="11" defaultRowHeight="16" x14ac:dyDescent="0.2"/>
  <sheetData>
    <row r="1" spans="1:39" x14ac:dyDescent="0.2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 x14ac:dyDescent="0.2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x14ac:dyDescent="0.2">
      <c r="A3" s="1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2">
      <c r="A4" s="1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x14ac:dyDescent="0.2">
      <c r="A5" s="1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x14ac:dyDescent="0.2">
      <c r="A6" s="1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x14ac:dyDescent="0.2">
      <c r="A9" s="1" t="s">
        <v>6</v>
      </c>
      <c r="B9" s="2" t="s">
        <v>7</v>
      </c>
      <c r="C9" s="2" t="s">
        <v>9</v>
      </c>
      <c r="D9" s="2" t="s">
        <v>8</v>
      </c>
      <c r="E9" s="2" t="s">
        <v>10</v>
      </c>
      <c r="F9" s="2" t="s">
        <v>11</v>
      </c>
      <c r="G9" s="2" t="s">
        <v>22</v>
      </c>
      <c r="H9" s="2" t="s">
        <v>23</v>
      </c>
      <c r="I9" s="2" t="s">
        <v>82</v>
      </c>
      <c r="J9" s="2" t="s">
        <v>12</v>
      </c>
      <c r="K9" s="2" t="s">
        <v>13</v>
      </c>
      <c r="L9" s="2" t="s">
        <v>14</v>
      </c>
      <c r="M9" s="2" t="s">
        <v>15</v>
      </c>
      <c r="N9" s="2" t="s">
        <v>16</v>
      </c>
      <c r="O9" s="2" t="s">
        <v>17</v>
      </c>
      <c r="P9" s="2" t="s">
        <v>18</v>
      </c>
      <c r="Q9" s="2" t="s">
        <v>19</v>
      </c>
      <c r="R9" s="2" t="s">
        <v>20</v>
      </c>
      <c r="S9" s="2" t="s">
        <v>21</v>
      </c>
      <c r="T9" s="2" t="s">
        <v>24</v>
      </c>
      <c r="U9" s="2" t="s">
        <v>25</v>
      </c>
      <c r="V9" s="2" t="s">
        <v>26</v>
      </c>
      <c r="W9" s="2" t="s">
        <v>27</v>
      </c>
      <c r="X9" s="2" t="s">
        <v>28</v>
      </c>
      <c r="Y9" s="2" t="s">
        <v>29</v>
      </c>
      <c r="Z9" s="2" t="s">
        <v>30</v>
      </c>
      <c r="AA9" s="2" t="s">
        <v>31</v>
      </c>
      <c r="AB9" s="2" t="s">
        <v>32</v>
      </c>
      <c r="AC9" s="2" t="s">
        <v>33</v>
      </c>
      <c r="AD9" s="2" t="s">
        <v>34</v>
      </c>
      <c r="AE9" s="2" t="s">
        <v>35</v>
      </c>
      <c r="AF9" s="2" t="s">
        <v>36</v>
      </c>
      <c r="AG9" s="2" t="s">
        <v>37</v>
      </c>
      <c r="AH9" s="2" t="s">
        <v>38</v>
      </c>
      <c r="AI9" s="2" t="s">
        <v>39</v>
      </c>
      <c r="AJ9" s="2" t="s">
        <v>40</v>
      </c>
      <c r="AK9" s="2" t="s">
        <v>41</v>
      </c>
      <c r="AL9" s="2" t="s">
        <v>42</v>
      </c>
      <c r="AM9" s="2" t="s">
        <v>43</v>
      </c>
    </row>
    <row r="10" spans="1:39" x14ac:dyDescent="0.2">
      <c r="A10" s="1">
        <v>0</v>
      </c>
      <c r="B10" s="2">
        <v>2.1</v>
      </c>
      <c r="C10" s="2" t="s">
        <v>45</v>
      </c>
      <c r="D10" s="2" t="s">
        <v>44</v>
      </c>
      <c r="E10" s="2">
        <v>84.852125693160801</v>
      </c>
      <c r="F10" s="2">
        <v>1639</v>
      </c>
      <c r="G10" s="2">
        <v>84.442116291252006</v>
      </c>
      <c r="H10" s="2">
        <v>297</v>
      </c>
      <c r="I10" s="2" t="s">
        <v>83</v>
      </c>
      <c r="J10" s="2">
        <v>15.147874306839199</v>
      </c>
      <c r="K10" s="2">
        <v>67.7136691649592</v>
      </c>
      <c r="L10" s="2">
        <v>84.852125693160801</v>
      </c>
      <c r="M10" s="2">
        <v>81.548985006573702</v>
      </c>
      <c r="N10" s="2">
        <v>58.503192198763301</v>
      </c>
      <c r="O10" s="2">
        <v>84.852125693160801</v>
      </c>
      <c r="P10" s="2">
        <v>84.852125693160801</v>
      </c>
      <c r="Q10" s="2">
        <v>60.359811008133597</v>
      </c>
      <c r="R10" s="2">
        <v>84.852125693160801</v>
      </c>
      <c r="S10" s="2">
        <v>82.240188077720504</v>
      </c>
      <c r="T10" s="2">
        <v>15.557883708747999</v>
      </c>
      <c r="U10" s="2">
        <v>65.494886000426206</v>
      </c>
      <c r="V10" s="2">
        <v>84.442116291252006</v>
      </c>
      <c r="W10" s="2">
        <v>80.409842707901603</v>
      </c>
      <c r="X10" s="2">
        <v>56.284461152882201</v>
      </c>
      <c r="Y10" s="2">
        <v>84.442116291252006</v>
      </c>
      <c r="Z10" s="2">
        <v>84.442116291252006</v>
      </c>
      <c r="AA10" s="2">
        <v>57.494484140639202</v>
      </c>
      <c r="AB10" s="2">
        <v>84.442116291252006</v>
      </c>
      <c r="AC10" s="2">
        <v>81.2332206206856</v>
      </c>
      <c r="AD10" s="2">
        <v>725784.81352294097</v>
      </c>
      <c r="AE10" s="2">
        <v>3.5732490000000001</v>
      </c>
      <c r="AF10" s="2">
        <v>31699</v>
      </c>
      <c r="AG10" s="2">
        <v>21442</v>
      </c>
      <c r="AH10" s="2" t="s">
        <v>46</v>
      </c>
      <c r="AI10" s="3">
        <v>46305</v>
      </c>
      <c r="AJ10" s="2" t="s">
        <v>47</v>
      </c>
      <c r="AK10" s="2" t="s">
        <v>48</v>
      </c>
      <c r="AL10" s="2" t="s">
        <v>49</v>
      </c>
      <c r="AM10" s="2" t="s">
        <v>50</v>
      </c>
    </row>
    <row r="11" spans="1:39" x14ac:dyDescent="0.2">
      <c r="A11" s="1">
        <v>0</v>
      </c>
      <c r="B11" s="2">
        <v>2.1</v>
      </c>
      <c r="C11" s="2" t="s">
        <v>51</v>
      </c>
      <c r="D11" s="2" t="s">
        <v>44</v>
      </c>
      <c r="E11" s="2">
        <v>85.110905730129403</v>
      </c>
      <c r="F11" s="2">
        <v>1611</v>
      </c>
      <c r="G11" s="2">
        <v>85.070717653221607</v>
      </c>
      <c r="H11" s="2">
        <v>285</v>
      </c>
      <c r="I11" s="2" t="s">
        <v>84</v>
      </c>
      <c r="J11" s="2">
        <v>14.889094269870601</v>
      </c>
      <c r="K11" s="2" t="s">
        <v>52</v>
      </c>
      <c r="L11" s="2">
        <v>85.110905730129403</v>
      </c>
      <c r="M11" s="2" t="s">
        <v>52</v>
      </c>
      <c r="N11" s="2">
        <v>50</v>
      </c>
      <c r="O11" s="2">
        <v>85.110905730129403</v>
      </c>
      <c r="P11" s="2">
        <v>85.110905730129403</v>
      </c>
      <c r="Q11" s="2">
        <v>45.978331419441801</v>
      </c>
      <c r="R11" s="2">
        <v>85.110905730129403</v>
      </c>
      <c r="S11" s="2">
        <v>78.265148621375204</v>
      </c>
      <c r="T11" s="2">
        <v>14.9292823467784</v>
      </c>
      <c r="U11" s="2" t="s">
        <v>52</v>
      </c>
      <c r="V11" s="2">
        <v>85.070717653221607</v>
      </c>
      <c r="W11" s="2" t="s">
        <v>52</v>
      </c>
      <c r="X11" s="2">
        <v>50</v>
      </c>
      <c r="Y11" s="2">
        <v>85.070717653221607</v>
      </c>
      <c r="Z11" s="2">
        <v>85.070717653221607</v>
      </c>
      <c r="AA11" s="2">
        <v>45.966600622700298</v>
      </c>
      <c r="AB11" s="2">
        <v>85.070717653221607</v>
      </c>
      <c r="AC11" s="2">
        <v>78.208234061042702</v>
      </c>
      <c r="AD11" s="2">
        <v>11833.0511773995</v>
      </c>
      <c r="AE11" s="2">
        <v>61.723030999999999</v>
      </c>
      <c r="AF11" s="2">
        <v>505443</v>
      </c>
      <c r="AG11" s="2">
        <v>503450</v>
      </c>
      <c r="AH11" s="2" t="s">
        <v>53</v>
      </c>
      <c r="AI11" s="3">
        <v>46305</v>
      </c>
      <c r="AJ11" s="2" t="s">
        <v>47</v>
      </c>
      <c r="AK11" s="2" t="s">
        <v>48</v>
      </c>
      <c r="AL11" s="2" t="s">
        <v>49</v>
      </c>
      <c r="AM11" s="2" t="s">
        <v>50</v>
      </c>
    </row>
    <row r="12" spans="1:39" x14ac:dyDescent="0.2">
      <c r="A12" s="1">
        <v>0</v>
      </c>
      <c r="B12" s="2">
        <v>2.11</v>
      </c>
      <c r="C12" s="2" t="s">
        <v>51</v>
      </c>
      <c r="D12" s="2" t="s">
        <v>44</v>
      </c>
      <c r="E12" s="2">
        <v>85.582255083179305</v>
      </c>
      <c r="F12" s="2">
        <v>1560</v>
      </c>
      <c r="G12" s="2">
        <v>85.385018334206407</v>
      </c>
      <c r="H12" s="2">
        <v>279</v>
      </c>
      <c r="I12" s="2" t="s">
        <v>85</v>
      </c>
      <c r="J12" s="2">
        <v>14.4177449168207</v>
      </c>
      <c r="K12" s="2">
        <v>75.170598324354202</v>
      </c>
      <c r="L12" s="2">
        <v>85.582255083179305</v>
      </c>
      <c r="M12" s="2">
        <v>82.729146772047002</v>
      </c>
      <c r="N12" s="2">
        <v>53.1961183628759</v>
      </c>
      <c r="O12" s="2">
        <v>85.582255083179305</v>
      </c>
      <c r="P12" s="2">
        <v>85.582255083179305</v>
      </c>
      <c r="Q12" s="2">
        <v>52.446763770018897</v>
      </c>
      <c r="R12" s="2">
        <v>85.582255083179305</v>
      </c>
      <c r="S12" s="2">
        <v>80.321372162112894</v>
      </c>
      <c r="T12" s="2">
        <v>14.6149816657936</v>
      </c>
      <c r="U12" s="2">
        <v>73.626373626373606</v>
      </c>
      <c r="V12" s="2">
        <v>85.385018334206407</v>
      </c>
      <c r="W12" s="2">
        <v>82.1050086634162</v>
      </c>
      <c r="X12" s="2">
        <v>52.499135770460597</v>
      </c>
      <c r="Y12" s="2">
        <v>85.385018334206407</v>
      </c>
      <c r="Z12" s="2">
        <v>85.385018334206407</v>
      </c>
      <c r="AA12" s="2">
        <v>51.1669357655841</v>
      </c>
      <c r="AB12" s="2">
        <v>85.385018334206407</v>
      </c>
      <c r="AC12" s="2">
        <v>79.839033737665005</v>
      </c>
      <c r="AD12" s="2">
        <v>303166.15298402897</v>
      </c>
      <c r="AE12" s="2">
        <v>510.21193799999998</v>
      </c>
      <c r="AF12" s="2">
        <v>418683</v>
      </c>
      <c r="AG12" s="2">
        <v>416690</v>
      </c>
      <c r="AH12" s="2" t="s">
        <v>54</v>
      </c>
      <c r="AI12" s="3">
        <v>46305</v>
      </c>
      <c r="AJ12" s="2" t="s">
        <v>47</v>
      </c>
      <c r="AK12" s="2" t="s">
        <v>48</v>
      </c>
      <c r="AL12" s="2" t="s">
        <v>49</v>
      </c>
      <c r="AM12" s="2" t="s">
        <v>50</v>
      </c>
    </row>
    <row r="13" spans="1:39" x14ac:dyDescent="0.2">
      <c r="A13" s="1">
        <v>0</v>
      </c>
      <c r="B13" s="2">
        <v>2.12</v>
      </c>
      <c r="C13" s="2" t="s">
        <v>51</v>
      </c>
      <c r="D13" s="2" t="s">
        <v>44</v>
      </c>
      <c r="E13" s="2">
        <v>85.110905730129403</v>
      </c>
      <c r="F13" s="2">
        <v>1611</v>
      </c>
      <c r="G13" s="2">
        <v>85.070717653221607</v>
      </c>
      <c r="H13" s="2">
        <v>285</v>
      </c>
      <c r="I13" s="2" t="s">
        <v>86</v>
      </c>
      <c r="J13" s="2">
        <v>14.889094269870601</v>
      </c>
      <c r="K13" s="2" t="s">
        <v>52</v>
      </c>
      <c r="L13" s="2">
        <v>85.110905730129403</v>
      </c>
      <c r="M13" s="2" t="s">
        <v>52</v>
      </c>
      <c r="N13" s="2">
        <v>50</v>
      </c>
      <c r="O13" s="2">
        <v>85.110905730129403</v>
      </c>
      <c r="P13" s="2">
        <v>85.110905730129403</v>
      </c>
      <c r="Q13" s="2">
        <v>45.978331419441801</v>
      </c>
      <c r="R13" s="2">
        <v>85.110905730129403</v>
      </c>
      <c r="S13" s="2">
        <v>78.265148621375204</v>
      </c>
      <c r="T13" s="2">
        <v>14.9292823467784</v>
      </c>
      <c r="U13" s="2" t="s">
        <v>52</v>
      </c>
      <c r="V13" s="2">
        <v>85.070717653221607</v>
      </c>
      <c r="W13" s="2" t="s">
        <v>52</v>
      </c>
      <c r="X13" s="2">
        <v>50</v>
      </c>
      <c r="Y13" s="2">
        <v>85.070717653221607</v>
      </c>
      <c r="Z13" s="2">
        <v>85.070717653221607</v>
      </c>
      <c r="AA13" s="2">
        <v>45.966600622700298</v>
      </c>
      <c r="AB13" s="2">
        <v>85.070717653221607</v>
      </c>
      <c r="AC13" s="2">
        <v>78.208234061042702</v>
      </c>
      <c r="AD13" s="2">
        <v>4824.2019780119799</v>
      </c>
      <c r="AE13" s="2">
        <v>40.799667999999997</v>
      </c>
      <c r="AF13" s="2">
        <v>1299119</v>
      </c>
      <c r="AG13" s="2">
        <v>1297130</v>
      </c>
      <c r="AH13" s="2" t="s">
        <v>55</v>
      </c>
      <c r="AI13" s="3">
        <v>46305</v>
      </c>
      <c r="AJ13" s="2" t="s">
        <v>47</v>
      </c>
      <c r="AK13" s="2" t="s">
        <v>48</v>
      </c>
      <c r="AL13" s="2" t="s">
        <v>49</v>
      </c>
      <c r="AM13" s="2" t="s">
        <v>50</v>
      </c>
    </row>
    <row r="14" spans="1:39" x14ac:dyDescent="0.2">
      <c r="A14" s="1">
        <v>0</v>
      </c>
      <c r="B14" s="2">
        <v>2.13</v>
      </c>
      <c r="C14" s="2" t="s">
        <v>51</v>
      </c>
      <c r="D14" s="2" t="s">
        <v>44</v>
      </c>
      <c r="E14" s="2">
        <v>85.462107208872496</v>
      </c>
      <c r="F14" s="2">
        <v>1573</v>
      </c>
      <c r="G14" s="2">
        <v>85.175484546883197</v>
      </c>
      <c r="H14" s="2">
        <v>283</v>
      </c>
      <c r="I14" s="2" t="s">
        <v>87</v>
      </c>
      <c r="J14" s="2">
        <v>14.537892791127501</v>
      </c>
      <c r="K14" s="2">
        <v>76.024109581980298</v>
      </c>
      <c r="L14" s="2">
        <v>85.462107208872496</v>
      </c>
      <c r="M14" s="2">
        <v>82.796862318014206</v>
      </c>
      <c r="N14" s="2">
        <v>52.178070611974498</v>
      </c>
      <c r="O14" s="2">
        <v>85.462107208872496</v>
      </c>
      <c r="P14" s="2">
        <v>85.462107208872496</v>
      </c>
      <c r="Q14" s="2">
        <v>50.508917613273802</v>
      </c>
      <c r="R14" s="2">
        <v>85.462107208872496</v>
      </c>
      <c r="S14" s="2">
        <v>79.715376927840893</v>
      </c>
      <c r="T14" s="2">
        <v>14.824515453116801</v>
      </c>
      <c r="U14" s="2">
        <v>71.262721447418002</v>
      </c>
      <c r="V14" s="2">
        <v>85.175484546883197</v>
      </c>
      <c r="W14" s="2">
        <v>81.166596933959099</v>
      </c>
      <c r="X14" s="2">
        <v>51.218779707890398</v>
      </c>
      <c r="Y14" s="2">
        <v>85.175484546883197</v>
      </c>
      <c r="Z14" s="2">
        <v>85.175484546883197</v>
      </c>
      <c r="AA14" s="2">
        <v>48.654556582945297</v>
      </c>
      <c r="AB14" s="2">
        <v>85.175484546883197</v>
      </c>
      <c r="AC14" s="2">
        <v>79.028173069723493</v>
      </c>
      <c r="AD14" s="2">
        <v>7255.28824683537</v>
      </c>
      <c r="AE14" s="2">
        <v>33.597259999999999</v>
      </c>
      <c r="AF14" s="2">
        <v>485399</v>
      </c>
      <c r="AG14" s="2">
        <v>483410</v>
      </c>
      <c r="AH14" s="2" t="s">
        <v>56</v>
      </c>
      <c r="AI14" s="3">
        <v>46305</v>
      </c>
      <c r="AJ14" s="2" t="s">
        <v>47</v>
      </c>
      <c r="AK14" s="2" t="s">
        <v>48</v>
      </c>
      <c r="AL14" s="2" t="s">
        <v>49</v>
      </c>
      <c r="AM14" s="2" t="s">
        <v>50</v>
      </c>
    </row>
    <row r="15" spans="1:39" x14ac:dyDescent="0.2">
      <c r="A15" s="1">
        <v>0</v>
      </c>
      <c r="B15" s="2">
        <v>2.14</v>
      </c>
      <c r="C15" s="2" t="s">
        <v>51</v>
      </c>
      <c r="D15" s="2" t="s">
        <v>44</v>
      </c>
      <c r="E15" s="2">
        <v>85.110905730129403</v>
      </c>
      <c r="F15" s="2">
        <v>1611</v>
      </c>
      <c r="G15" s="2">
        <v>85.070717653221607</v>
      </c>
      <c r="H15" s="2">
        <v>285</v>
      </c>
      <c r="I15" s="2" t="s">
        <v>88</v>
      </c>
      <c r="J15" s="2">
        <v>14.889094269870601</v>
      </c>
      <c r="K15" s="2" t="s">
        <v>52</v>
      </c>
      <c r="L15" s="2">
        <v>85.110905730129403</v>
      </c>
      <c r="M15" s="2" t="s">
        <v>52</v>
      </c>
      <c r="N15" s="2">
        <v>50</v>
      </c>
      <c r="O15" s="2">
        <v>85.110905730129403</v>
      </c>
      <c r="P15" s="2">
        <v>85.110905730129403</v>
      </c>
      <c r="Q15" s="2">
        <v>45.978331419441801</v>
      </c>
      <c r="R15" s="2">
        <v>85.110905730129403</v>
      </c>
      <c r="S15" s="2">
        <v>78.265148621375204</v>
      </c>
      <c r="T15" s="2">
        <v>14.9292823467784</v>
      </c>
      <c r="U15" s="2" t="s">
        <v>52</v>
      </c>
      <c r="V15" s="2">
        <v>85.070717653221607</v>
      </c>
      <c r="W15" s="2" t="s">
        <v>52</v>
      </c>
      <c r="X15" s="2">
        <v>50</v>
      </c>
      <c r="Y15" s="2">
        <v>85.070717653221607</v>
      </c>
      <c r="Z15" s="2">
        <v>85.070717653221607</v>
      </c>
      <c r="AA15" s="2">
        <v>45.966600622700298</v>
      </c>
      <c r="AB15" s="2">
        <v>85.070717653221607</v>
      </c>
      <c r="AC15" s="2">
        <v>78.208234061042702</v>
      </c>
      <c r="AD15" s="2">
        <v>9107.3991305043201</v>
      </c>
      <c r="AE15" s="2">
        <v>34.862488999999997</v>
      </c>
      <c r="AF15" s="2">
        <v>447359</v>
      </c>
      <c r="AG15" s="2">
        <v>445370</v>
      </c>
      <c r="AH15" s="2" t="s">
        <v>57</v>
      </c>
      <c r="AI15" s="3">
        <v>46305</v>
      </c>
      <c r="AJ15" s="2" t="s">
        <v>47</v>
      </c>
      <c r="AK15" s="2" t="s">
        <v>48</v>
      </c>
      <c r="AL15" s="2" t="s">
        <v>49</v>
      </c>
      <c r="AM15" s="2" t="s">
        <v>50</v>
      </c>
    </row>
    <row r="16" spans="1:39" x14ac:dyDescent="0.2">
      <c r="A16" s="1">
        <v>0</v>
      </c>
      <c r="B16" s="2">
        <v>2.15</v>
      </c>
      <c r="C16" s="2" t="s">
        <v>58</v>
      </c>
      <c r="D16" s="2" t="s">
        <v>44</v>
      </c>
      <c r="E16" s="2">
        <v>86.219963031423305</v>
      </c>
      <c r="F16" s="2">
        <v>1491</v>
      </c>
      <c r="G16" s="2">
        <v>86.066003143006796</v>
      </c>
      <c r="H16" s="2">
        <v>266</v>
      </c>
      <c r="I16" s="2" t="s">
        <v>89</v>
      </c>
      <c r="J16" s="2">
        <v>13.780036968576701</v>
      </c>
      <c r="K16" s="2">
        <v>76.338745160905205</v>
      </c>
      <c r="L16" s="2">
        <v>86.219963031423305</v>
      </c>
      <c r="M16" s="2">
        <v>83.804685234512704</v>
      </c>
      <c r="N16" s="2">
        <v>57.078931703858402</v>
      </c>
      <c r="O16" s="2">
        <v>86.219963031423305</v>
      </c>
      <c r="P16" s="2">
        <v>86.219963031423305</v>
      </c>
      <c r="Q16" s="2">
        <v>58.799606838930899</v>
      </c>
      <c r="R16" s="2">
        <v>86.219963031423305</v>
      </c>
      <c r="S16" s="2">
        <v>82.402174681975794</v>
      </c>
      <c r="T16" s="2">
        <v>13.9339968569932</v>
      </c>
      <c r="U16" s="2">
        <v>75.930798466009705</v>
      </c>
      <c r="V16" s="2">
        <v>86.066003143006796</v>
      </c>
      <c r="W16" s="2">
        <v>83.542149594724904</v>
      </c>
      <c r="X16" s="2">
        <v>56.515642554662499</v>
      </c>
      <c r="Y16" s="2">
        <v>86.066003143006796</v>
      </c>
      <c r="Z16" s="2">
        <v>86.066003143006796</v>
      </c>
      <c r="AA16" s="2">
        <v>57.948756169465703</v>
      </c>
      <c r="AB16" s="2">
        <v>86.066003143006796</v>
      </c>
      <c r="AC16" s="2">
        <v>82.067265905257798</v>
      </c>
      <c r="AD16" s="2">
        <v>31165.030646573599</v>
      </c>
      <c r="AE16" s="2">
        <v>14.622953000000001</v>
      </c>
      <c r="AF16" s="2">
        <v>311860</v>
      </c>
      <c r="AG16" s="2">
        <v>140537</v>
      </c>
      <c r="AH16" s="2" t="s">
        <v>59</v>
      </c>
      <c r="AI16" s="3">
        <v>46305</v>
      </c>
      <c r="AJ16" s="2" t="s">
        <v>47</v>
      </c>
      <c r="AK16" s="2" t="s">
        <v>48</v>
      </c>
      <c r="AL16" s="2" t="s">
        <v>49</v>
      </c>
      <c r="AM16" s="2" t="s">
        <v>50</v>
      </c>
    </row>
    <row r="17" spans="1:39" x14ac:dyDescent="0.2">
      <c r="A17" s="1">
        <v>0</v>
      </c>
      <c r="B17" s="2">
        <v>2.16</v>
      </c>
      <c r="C17" s="2" t="s">
        <v>58</v>
      </c>
      <c r="D17" s="2" t="s">
        <v>44</v>
      </c>
      <c r="E17" s="2">
        <v>85.406654343807801</v>
      </c>
      <c r="F17" s="2">
        <v>1579</v>
      </c>
      <c r="G17" s="2">
        <v>85.804085908852798</v>
      </c>
      <c r="H17" s="2">
        <v>271</v>
      </c>
      <c r="I17" s="2" t="s">
        <v>90</v>
      </c>
      <c r="J17" s="2">
        <v>14.5933456561922</v>
      </c>
      <c r="K17" s="2">
        <v>69.990821603630707</v>
      </c>
      <c r="L17" s="2">
        <v>85.406654343807801</v>
      </c>
      <c r="M17" s="2">
        <v>82.222389811636702</v>
      </c>
      <c r="N17" s="2">
        <v>58.547281796428997</v>
      </c>
      <c r="O17" s="2">
        <v>85.406654343807801</v>
      </c>
      <c r="P17" s="2">
        <v>85.406654343807801</v>
      </c>
      <c r="Q17" s="2">
        <v>60.5758569623368</v>
      </c>
      <c r="R17" s="2">
        <v>85.406654343807801</v>
      </c>
      <c r="S17" s="2">
        <v>82.546789593572001</v>
      </c>
      <c r="T17" s="2">
        <v>14.1959140911472</v>
      </c>
      <c r="U17" s="2">
        <v>72.420198128783696</v>
      </c>
      <c r="V17" s="2">
        <v>85.804085908852798</v>
      </c>
      <c r="W17" s="2">
        <v>82.809198556327203</v>
      </c>
      <c r="X17" s="2">
        <v>58.097506697778897</v>
      </c>
      <c r="Y17" s="2">
        <v>85.804085908852798</v>
      </c>
      <c r="Z17" s="2">
        <v>85.804085908852798</v>
      </c>
      <c r="AA17" s="2">
        <v>60.120546661147301</v>
      </c>
      <c r="AB17" s="2">
        <v>85.804085908852798</v>
      </c>
      <c r="AC17" s="2">
        <v>82.568496434435602</v>
      </c>
      <c r="AD17" s="2">
        <v>19349.589134186401</v>
      </c>
      <c r="AE17" s="2">
        <v>29.757966</v>
      </c>
      <c r="AF17" s="2">
        <v>6722812</v>
      </c>
      <c r="AG17" s="2">
        <v>4863449</v>
      </c>
      <c r="AH17" s="2" t="s">
        <v>60</v>
      </c>
      <c r="AI17" s="3">
        <v>46305</v>
      </c>
      <c r="AJ17" s="2" t="s">
        <v>47</v>
      </c>
      <c r="AK17" s="2" t="s">
        <v>48</v>
      </c>
      <c r="AL17" s="2" t="s">
        <v>49</v>
      </c>
      <c r="AM17" s="2" t="s">
        <v>50</v>
      </c>
    </row>
    <row r="18" spans="1:39" x14ac:dyDescent="0.2">
      <c r="A18" s="1">
        <v>0</v>
      </c>
      <c r="B18" s="2">
        <v>2.17</v>
      </c>
      <c r="C18" s="2" t="s">
        <v>58</v>
      </c>
      <c r="D18" s="2" t="s">
        <v>44</v>
      </c>
      <c r="E18" s="2">
        <v>71.238447319778203</v>
      </c>
      <c r="F18" s="2">
        <v>3112</v>
      </c>
      <c r="G18" s="2">
        <v>75.065479308538499</v>
      </c>
      <c r="H18" s="2">
        <v>476</v>
      </c>
      <c r="I18" s="2" t="s">
        <v>91</v>
      </c>
      <c r="J18" s="2">
        <v>28.761552680221801</v>
      </c>
      <c r="K18" s="2">
        <v>62.116300470430502</v>
      </c>
      <c r="L18" s="2">
        <v>71.238447319778203</v>
      </c>
      <c r="M18" s="2">
        <v>84.316835948119007</v>
      </c>
      <c r="N18" s="2">
        <v>71.913160276438603</v>
      </c>
      <c r="O18" s="2">
        <v>71.238447319778203</v>
      </c>
      <c r="P18" s="2">
        <v>71.238447319778203</v>
      </c>
      <c r="Q18" s="2">
        <v>61.885020624204799</v>
      </c>
      <c r="R18" s="2">
        <v>71.238447319778203</v>
      </c>
      <c r="S18" s="2">
        <v>75.143851973638903</v>
      </c>
      <c r="T18" s="2">
        <v>24.934520691461501</v>
      </c>
      <c r="U18" s="2">
        <v>63.695891072203402</v>
      </c>
      <c r="V18" s="2">
        <v>75.065479308538499</v>
      </c>
      <c r="W18" s="2">
        <v>84.636576971037897</v>
      </c>
      <c r="X18" s="2">
        <v>73.049541958344093</v>
      </c>
      <c r="Y18" s="2">
        <v>75.065479308538499</v>
      </c>
      <c r="Z18" s="2">
        <v>75.065479308538499</v>
      </c>
      <c r="AA18" s="2">
        <v>64.741315354075297</v>
      </c>
      <c r="AB18" s="2">
        <v>75.065479308538499</v>
      </c>
      <c r="AC18" s="2">
        <v>78.123750528350499</v>
      </c>
      <c r="AD18" s="2">
        <v>30990.699925817102</v>
      </c>
      <c r="AE18" s="2">
        <v>12.600015000000001</v>
      </c>
      <c r="AF18" s="2">
        <v>294824</v>
      </c>
      <c r="AG18" s="2">
        <v>115517</v>
      </c>
      <c r="AH18" s="2" t="s">
        <v>61</v>
      </c>
      <c r="AI18" s="3">
        <v>46305</v>
      </c>
      <c r="AJ18" s="2" t="s">
        <v>47</v>
      </c>
      <c r="AK18" s="2" t="s">
        <v>48</v>
      </c>
      <c r="AL18" s="2" t="s">
        <v>49</v>
      </c>
      <c r="AM18" s="2" t="s">
        <v>50</v>
      </c>
    </row>
    <row r="19" spans="1:39" x14ac:dyDescent="0.2">
      <c r="A19" s="1">
        <v>0</v>
      </c>
      <c r="B19" s="2">
        <v>2.1800000000000002</v>
      </c>
      <c r="C19" s="2" t="s">
        <v>62</v>
      </c>
      <c r="D19" s="2" t="s">
        <v>44</v>
      </c>
      <c r="E19" s="2">
        <v>85.591497227356797</v>
      </c>
      <c r="F19" s="2">
        <v>1559</v>
      </c>
      <c r="G19" s="2">
        <v>85.123101100052395</v>
      </c>
      <c r="H19" s="2">
        <v>284</v>
      </c>
      <c r="I19" s="2" t="s">
        <v>92</v>
      </c>
      <c r="J19" s="2">
        <v>14.4085027726432</v>
      </c>
      <c r="K19" s="2">
        <v>71.331511839708597</v>
      </c>
      <c r="L19" s="2">
        <v>85.591497227356797</v>
      </c>
      <c r="M19" s="2">
        <v>82.253625647707594</v>
      </c>
      <c r="N19" s="2">
        <v>56.709727664331801</v>
      </c>
      <c r="O19" s="2">
        <v>85.591497227356797</v>
      </c>
      <c r="P19" s="2">
        <v>85.591497227356797</v>
      </c>
      <c r="Q19" s="2">
        <v>58.197247598087202</v>
      </c>
      <c r="R19" s="2">
        <v>85.591497227356797</v>
      </c>
      <c r="S19" s="2">
        <v>81.960406484168999</v>
      </c>
      <c r="T19" s="2">
        <v>14.8768988999476</v>
      </c>
      <c r="U19" s="2">
        <v>68.578445646676599</v>
      </c>
      <c r="V19" s="2">
        <v>85.123101100052395</v>
      </c>
      <c r="W19" s="2">
        <v>81.115680311119206</v>
      </c>
      <c r="X19" s="2">
        <v>55.2382032667877</v>
      </c>
      <c r="Y19" s="2">
        <v>85.123101100052395</v>
      </c>
      <c r="Z19" s="2">
        <v>85.123101100052395</v>
      </c>
      <c r="AA19" s="2">
        <v>56.010684218383901</v>
      </c>
      <c r="AB19" s="2">
        <v>85.123101100052395</v>
      </c>
      <c r="AC19" s="2">
        <v>81.111473789893296</v>
      </c>
      <c r="AD19" s="2">
        <v>239274.65723131399</v>
      </c>
      <c r="AE19" s="2">
        <v>38.713507999999997</v>
      </c>
      <c r="AF19" s="2">
        <v>8084</v>
      </c>
      <c r="AG19" s="2">
        <v>5630</v>
      </c>
      <c r="AH19" s="2" t="s">
        <v>63</v>
      </c>
      <c r="AI19" s="3">
        <v>46305</v>
      </c>
      <c r="AJ19" s="2" t="s">
        <v>47</v>
      </c>
      <c r="AK19" s="2" t="s">
        <v>48</v>
      </c>
      <c r="AL19" s="2" t="s">
        <v>49</v>
      </c>
      <c r="AM19" s="2" t="s">
        <v>50</v>
      </c>
    </row>
    <row r="20" spans="1:39" x14ac:dyDescent="0.2">
      <c r="A20" s="1">
        <v>0</v>
      </c>
      <c r="B20" s="2">
        <v>2.19</v>
      </c>
      <c r="C20" s="2" t="s">
        <v>62</v>
      </c>
      <c r="D20" s="2" t="s">
        <v>44</v>
      </c>
      <c r="E20" s="2">
        <v>84.916820702403001</v>
      </c>
      <c r="F20" s="2">
        <v>1632</v>
      </c>
      <c r="G20" s="2">
        <v>84.442116291252006</v>
      </c>
      <c r="H20" s="2">
        <v>297</v>
      </c>
      <c r="I20" s="2" t="s">
        <v>93</v>
      </c>
      <c r="J20" s="2">
        <v>15.083179297597001</v>
      </c>
      <c r="K20" s="2">
        <v>67.857844510862705</v>
      </c>
      <c r="L20" s="2">
        <v>84.916820702403001</v>
      </c>
      <c r="M20" s="2">
        <v>81.510056550395305</v>
      </c>
      <c r="N20" s="2">
        <v>58.105876912169798</v>
      </c>
      <c r="O20" s="2">
        <v>84.916820702403001</v>
      </c>
      <c r="P20" s="2">
        <v>84.916820702403001</v>
      </c>
      <c r="Q20" s="2">
        <v>59.902524812274699</v>
      </c>
      <c r="R20" s="2">
        <v>84.916820702403001</v>
      </c>
      <c r="S20" s="2">
        <v>82.142007631511106</v>
      </c>
      <c r="T20" s="2">
        <v>15.557883708747999</v>
      </c>
      <c r="U20" s="2">
        <v>65.417982356196504</v>
      </c>
      <c r="V20" s="2">
        <v>84.442116291252006</v>
      </c>
      <c r="W20" s="2">
        <v>80.358343258858795</v>
      </c>
      <c r="X20" s="2">
        <v>56.139810733730897</v>
      </c>
      <c r="Y20" s="2">
        <v>84.442116291252006</v>
      </c>
      <c r="Z20" s="2">
        <v>84.442116291252006</v>
      </c>
      <c r="AA20" s="2">
        <v>57.2997227738879</v>
      </c>
      <c r="AB20" s="2">
        <v>84.442116291252006</v>
      </c>
      <c r="AC20" s="2">
        <v>81.178609054932906</v>
      </c>
      <c r="AD20" s="2">
        <v>179796.939131591</v>
      </c>
      <c r="AE20" s="2">
        <v>59.582749</v>
      </c>
      <c r="AF20" s="2">
        <v>10004</v>
      </c>
      <c r="AG20" s="2">
        <v>7550</v>
      </c>
      <c r="AH20" s="2" t="s">
        <v>64</v>
      </c>
      <c r="AI20" s="3">
        <v>46305</v>
      </c>
      <c r="AJ20" s="2" t="s">
        <v>47</v>
      </c>
      <c r="AK20" s="2" t="s">
        <v>48</v>
      </c>
      <c r="AL20" s="2" t="s">
        <v>49</v>
      </c>
      <c r="AM20" s="2" t="s">
        <v>50</v>
      </c>
    </row>
    <row r="21" spans="1:39" x14ac:dyDescent="0.2">
      <c r="A21" s="1">
        <v>0</v>
      </c>
      <c r="B21" s="2">
        <v>2.2000000000000002</v>
      </c>
      <c r="C21" s="2" t="s">
        <v>45</v>
      </c>
      <c r="D21" s="2" t="s">
        <v>44</v>
      </c>
      <c r="E21" s="2">
        <v>85.813308687615503</v>
      </c>
      <c r="F21" s="2">
        <v>1535</v>
      </c>
      <c r="G21" s="2">
        <v>85.908852802514403</v>
      </c>
      <c r="H21" s="2">
        <v>269</v>
      </c>
      <c r="I21" s="2" t="s">
        <v>94</v>
      </c>
      <c r="J21" s="2">
        <v>14.1866913123845</v>
      </c>
      <c r="K21" s="2">
        <v>73.265850480615597</v>
      </c>
      <c r="L21" s="2">
        <v>85.813308687615503</v>
      </c>
      <c r="M21" s="2">
        <v>82.761426920534504</v>
      </c>
      <c r="N21" s="2">
        <v>56.379106235574099</v>
      </c>
      <c r="O21" s="2">
        <v>85.813308687615503</v>
      </c>
      <c r="P21" s="2">
        <v>85.813308687615503</v>
      </c>
      <c r="Q21" s="2">
        <v>57.736137786801898</v>
      </c>
      <c r="R21" s="2">
        <v>85.813308687615503</v>
      </c>
      <c r="S21" s="2">
        <v>81.925994290303606</v>
      </c>
      <c r="T21" s="2">
        <v>14.091147197485601</v>
      </c>
      <c r="U21" s="2">
        <v>73.419373356295097</v>
      </c>
      <c r="V21" s="2">
        <v>85.908852802514403</v>
      </c>
      <c r="W21" s="2">
        <v>83.002991109010097</v>
      </c>
      <c r="X21" s="2">
        <v>57.580481375853402</v>
      </c>
      <c r="Y21" s="2">
        <v>85.908852802514403</v>
      </c>
      <c r="Z21" s="2">
        <v>85.908852802514403</v>
      </c>
      <c r="AA21" s="2">
        <v>59.454077600221702</v>
      </c>
      <c r="AB21" s="2">
        <v>85.908852802514403</v>
      </c>
      <c r="AC21" s="2">
        <v>82.426155418554998</v>
      </c>
      <c r="AD21" s="2">
        <v>783660.46208444994</v>
      </c>
      <c r="AE21" s="2">
        <v>1.4558869999999999</v>
      </c>
      <c r="AF21" s="2">
        <v>10199</v>
      </c>
      <c r="AG21" s="2">
        <v>5230</v>
      </c>
      <c r="AH21" s="2" t="s">
        <v>65</v>
      </c>
      <c r="AI21" s="3">
        <v>46305</v>
      </c>
      <c r="AJ21" s="2" t="s">
        <v>47</v>
      </c>
      <c r="AK21" s="2" t="s">
        <v>48</v>
      </c>
      <c r="AL21" s="2" t="s">
        <v>49</v>
      </c>
      <c r="AM21" s="2" t="s">
        <v>50</v>
      </c>
    </row>
    <row r="22" spans="1:39" x14ac:dyDescent="0.2">
      <c r="A22" s="1">
        <v>0</v>
      </c>
      <c r="B22" s="2">
        <v>2.2000000000000002</v>
      </c>
      <c r="C22" s="2" t="s">
        <v>62</v>
      </c>
      <c r="D22" s="2" t="s">
        <v>44</v>
      </c>
      <c r="E22" s="2">
        <v>79.436229205175593</v>
      </c>
      <c r="F22" s="2">
        <v>2225</v>
      </c>
      <c r="G22" s="2">
        <v>79.622839182818197</v>
      </c>
      <c r="H22" s="2">
        <v>389</v>
      </c>
      <c r="I22" s="2" t="s">
        <v>95</v>
      </c>
      <c r="J22" s="2">
        <v>20.5637707948244</v>
      </c>
      <c r="K22" s="2">
        <v>58.447421826845599</v>
      </c>
      <c r="L22" s="2">
        <v>79.436229205175593</v>
      </c>
      <c r="M22" s="2">
        <v>78.809137667059005</v>
      </c>
      <c r="N22" s="2">
        <v>57.933451602111901</v>
      </c>
      <c r="O22" s="2">
        <v>79.436229205175593</v>
      </c>
      <c r="P22" s="2">
        <v>79.436229205175593</v>
      </c>
      <c r="Q22" s="2">
        <v>58.1685343522526</v>
      </c>
      <c r="R22" s="2">
        <v>79.436229205175593</v>
      </c>
      <c r="S22" s="2">
        <v>79.113699030478003</v>
      </c>
      <c r="T22" s="2">
        <v>20.3771608171818</v>
      </c>
      <c r="U22" s="2">
        <v>57.665767924905097</v>
      </c>
      <c r="V22" s="2">
        <v>79.622839182818197</v>
      </c>
      <c r="W22" s="2">
        <v>78.239958557757205</v>
      </c>
      <c r="X22" s="2">
        <v>56.634258058940503</v>
      </c>
      <c r="Y22" s="2">
        <v>79.622839182818197</v>
      </c>
      <c r="Z22" s="2">
        <v>79.622839182818197</v>
      </c>
      <c r="AA22" s="2">
        <v>57.045912686362101</v>
      </c>
      <c r="AB22" s="2">
        <v>79.622839182818197</v>
      </c>
      <c r="AC22" s="2">
        <v>78.888762815520195</v>
      </c>
      <c r="AD22" s="2">
        <v>419054.99612703302</v>
      </c>
      <c r="AE22" s="2">
        <v>89.527806999999996</v>
      </c>
      <c r="AF22" s="2">
        <v>19604</v>
      </c>
      <c r="AG22" s="2">
        <v>17150</v>
      </c>
      <c r="AH22" s="2" t="s">
        <v>66</v>
      </c>
      <c r="AI22" s="3">
        <v>46305</v>
      </c>
      <c r="AJ22" s="2" t="s">
        <v>47</v>
      </c>
      <c r="AK22" s="2" t="s">
        <v>48</v>
      </c>
      <c r="AL22" s="2" t="s">
        <v>49</v>
      </c>
      <c r="AM22" s="2" t="s">
        <v>50</v>
      </c>
    </row>
    <row r="23" spans="1:39" x14ac:dyDescent="0.2">
      <c r="A23" s="1">
        <v>0</v>
      </c>
      <c r="B23" s="2">
        <v>2.21</v>
      </c>
      <c r="C23" s="2" t="s">
        <v>62</v>
      </c>
      <c r="D23" s="2" t="s">
        <v>44</v>
      </c>
      <c r="E23" s="2">
        <v>84.611829944547097</v>
      </c>
      <c r="F23" s="2">
        <v>1665</v>
      </c>
      <c r="G23" s="2">
        <v>85.227867993714</v>
      </c>
      <c r="H23" s="2">
        <v>282</v>
      </c>
      <c r="I23" s="2" t="s">
        <v>96</v>
      </c>
      <c r="J23" s="2">
        <v>15.3881700554529</v>
      </c>
      <c r="K23" s="2">
        <v>65.971351991088795</v>
      </c>
      <c r="L23" s="2">
        <v>84.611829944547097</v>
      </c>
      <c r="M23" s="2">
        <v>80.572419155045097</v>
      </c>
      <c r="N23" s="2">
        <v>56.1854180244557</v>
      </c>
      <c r="O23" s="2">
        <v>84.611829944547097</v>
      </c>
      <c r="P23" s="2">
        <v>84.611829944547097</v>
      </c>
      <c r="Q23" s="2">
        <v>57.377587287011899</v>
      </c>
      <c r="R23" s="2">
        <v>84.611829944547097</v>
      </c>
      <c r="S23" s="2">
        <v>81.302408157858594</v>
      </c>
      <c r="T23" s="2">
        <v>14.772132006286</v>
      </c>
      <c r="U23" s="2">
        <v>69.281121216427493</v>
      </c>
      <c r="V23" s="2">
        <v>85.227867993714</v>
      </c>
      <c r="W23" s="2">
        <v>81.673862908120199</v>
      </c>
      <c r="X23" s="2">
        <v>57.035584651283401</v>
      </c>
      <c r="Y23" s="2">
        <v>85.227867993714</v>
      </c>
      <c r="Z23" s="2">
        <v>85.227867993714</v>
      </c>
      <c r="AA23" s="2">
        <v>58.5995754891104</v>
      </c>
      <c r="AB23" s="2">
        <v>85.227867993714</v>
      </c>
      <c r="AC23" s="2">
        <v>81.888460965050399</v>
      </c>
      <c r="AD23" s="2">
        <v>293383.94793926203</v>
      </c>
      <c r="AE23" s="2">
        <v>59.123285000000003</v>
      </c>
      <c r="AF23" s="2">
        <v>9856</v>
      </c>
      <c r="AG23" s="2">
        <v>6878</v>
      </c>
      <c r="AH23" s="2" t="s">
        <v>67</v>
      </c>
      <c r="AI23" s="3">
        <v>46305</v>
      </c>
      <c r="AJ23" s="2" t="s">
        <v>47</v>
      </c>
      <c r="AK23" s="2" t="s">
        <v>48</v>
      </c>
      <c r="AL23" s="2" t="s">
        <v>49</v>
      </c>
      <c r="AM23" s="2" t="s">
        <v>50</v>
      </c>
    </row>
    <row r="24" spans="1:39" x14ac:dyDescent="0.2">
      <c r="A24" s="1">
        <v>0</v>
      </c>
      <c r="B24" s="2">
        <v>2.2200000000000002</v>
      </c>
      <c r="C24" s="2" t="s">
        <v>62</v>
      </c>
      <c r="D24" s="2" t="s">
        <v>44</v>
      </c>
      <c r="E24" s="2">
        <v>84.713493530499093</v>
      </c>
      <c r="F24" s="2">
        <v>1654</v>
      </c>
      <c r="G24" s="2">
        <v>83.603981141959096</v>
      </c>
      <c r="H24" s="2">
        <v>313</v>
      </c>
      <c r="I24" s="2" t="s">
        <v>97</v>
      </c>
      <c r="J24" s="2">
        <v>15.2865064695009</v>
      </c>
      <c r="K24" s="2">
        <v>66.684453869974405</v>
      </c>
      <c r="L24" s="2">
        <v>84.713493530499093</v>
      </c>
      <c r="M24" s="2">
        <v>80.921061991016401</v>
      </c>
      <c r="N24" s="2">
        <v>56.8853210084675</v>
      </c>
      <c r="O24" s="2">
        <v>84.713493530499093</v>
      </c>
      <c r="P24" s="2">
        <v>84.713493530499093</v>
      </c>
      <c r="Q24" s="2">
        <v>58.322880836882803</v>
      </c>
      <c r="R24" s="2">
        <v>84.713493530499093</v>
      </c>
      <c r="S24" s="2">
        <v>81.611600377660594</v>
      </c>
      <c r="T24" s="2">
        <v>16.3960188580409</v>
      </c>
      <c r="U24" s="2">
        <v>61.988731218697801</v>
      </c>
      <c r="V24" s="2">
        <v>83.603981141959096</v>
      </c>
      <c r="W24" s="2">
        <v>79.165478783829499</v>
      </c>
      <c r="X24" s="2">
        <v>55.2132486388385</v>
      </c>
      <c r="Y24" s="2">
        <v>83.603981141959096</v>
      </c>
      <c r="Z24" s="2">
        <v>83.603981141959096</v>
      </c>
      <c r="AA24" s="2">
        <v>56.004659323764798</v>
      </c>
      <c r="AB24" s="2">
        <v>83.603981141959096</v>
      </c>
      <c r="AC24" s="2">
        <v>80.446122230221306</v>
      </c>
      <c r="AD24" s="2">
        <v>443551.69303927198</v>
      </c>
      <c r="AE24" s="2">
        <v>58.483927999999999</v>
      </c>
      <c r="AF24" s="2">
        <v>11628</v>
      </c>
      <c r="AG24" s="2">
        <v>8126</v>
      </c>
      <c r="AH24" s="2" t="s">
        <v>68</v>
      </c>
      <c r="AI24" s="3">
        <v>46305</v>
      </c>
      <c r="AJ24" s="2" t="s">
        <v>47</v>
      </c>
      <c r="AK24" s="2" t="s">
        <v>48</v>
      </c>
      <c r="AL24" s="2" t="s">
        <v>49</v>
      </c>
      <c r="AM24" s="2" t="s">
        <v>50</v>
      </c>
    </row>
    <row r="25" spans="1:39" x14ac:dyDescent="0.2">
      <c r="A25" s="1">
        <v>0</v>
      </c>
      <c r="B25" s="2">
        <v>2.23</v>
      </c>
      <c r="C25" s="2" t="s">
        <v>69</v>
      </c>
      <c r="D25" s="2" t="s">
        <v>44</v>
      </c>
      <c r="E25" s="2">
        <v>85.110905730129403</v>
      </c>
      <c r="F25" s="2">
        <v>1611</v>
      </c>
      <c r="G25" s="2">
        <v>85.070717653221607</v>
      </c>
      <c r="H25" s="2">
        <v>285</v>
      </c>
      <c r="I25" s="2" t="s">
        <v>98</v>
      </c>
      <c r="J25" s="2">
        <v>14.889094269870601</v>
      </c>
      <c r="K25" s="2" t="s">
        <v>52</v>
      </c>
      <c r="L25" s="2">
        <v>85.110905730129403</v>
      </c>
      <c r="M25" s="2" t="s">
        <v>52</v>
      </c>
      <c r="N25" s="2">
        <v>50</v>
      </c>
      <c r="O25" s="2">
        <v>85.110905730129403</v>
      </c>
      <c r="P25" s="2">
        <v>85.110905730129403</v>
      </c>
      <c r="Q25" s="2">
        <v>45.978331419441801</v>
      </c>
      <c r="R25" s="2">
        <v>85.110905730129403</v>
      </c>
      <c r="S25" s="2">
        <v>78.265148621375204</v>
      </c>
      <c r="T25" s="2">
        <v>14.9292823467784</v>
      </c>
      <c r="U25" s="2" t="s">
        <v>52</v>
      </c>
      <c r="V25" s="2">
        <v>85.070717653221607</v>
      </c>
      <c r="W25" s="2" t="s">
        <v>52</v>
      </c>
      <c r="X25" s="2">
        <v>50</v>
      </c>
      <c r="Y25" s="2">
        <v>85.070717653221607</v>
      </c>
      <c r="Z25" s="2">
        <v>85.070717653221607</v>
      </c>
      <c r="AA25" s="2">
        <v>45.966600622700298</v>
      </c>
      <c r="AB25" s="2">
        <v>85.070717653221607</v>
      </c>
      <c r="AC25" s="2">
        <v>78.208234061042702</v>
      </c>
      <c r="AD25" s="2">
        <v>140193.575972739</v>
      </c>
      <c r="AE25" s="2">
        <v>36.673257</v>
      </c>
      <c r="AF25" s="2">
        <v>13438</v>
      </c>
      <c r="AG25" s="2">
        <v>14120</v>
      </c>
      <c r="AH25" s="2" t="s">
        <v>70</v>
      </c>
      <c r="AI25" s="3">
        <v>46305</v>
      </c>
      <c r="AJ25" s="2" t="s">
        <v>47</v>
      </c>
      <c r="AK25" s="2" t="s">
        <v>48</v>
      </c>
      <c r="AL25" s="2" t="s">
        <v>49</v>
      </c>
      <c r="AM25" s="2" t="s">
        <v>50</v>
      </c>
    </row>
    <row r="26" spans="1:39" x14ac:dyDescent="0.2">
      <c r="A26" s="1">
        <v>0</v>
      </c>
      <c r="B26" s="2">
        <v>2.2400000000000002</v>
      </c>
      <c r="C26" s="2" t="s">
        <v>69</v>
      </c>
      <c r="D26" s="2" t="s">
        <v>44</v>
      </c>
      <c r="E26" s="2">
        <v>84.963031423290204</v>
      </c>
      <c r="F26" s="2">
        <v>1627</v>
      </c>
      <c r="G26" s="2">
        <v>84.861183865898397</v>
      </c>
      <c r="H26" s="2">
        <v>289</v>
      </c>
      <c r="I26" s="2" t="s">
        <v>99</v>
      </c>
      <c r="J26" s="2">
        <v>15.0369685767098</v>
      </c>
      <c r="K26" s="2">
        <v>63.3208912881367</v>
      </c>
      <c r="L26" s="2">
        <v>84.963031423290204</v>
      </c>
      <c r="M26" s="2">
        <v>78.7813069281232</v>
      </c>
      <c r="N26" s="2">
        <v>50.886200239031503</v>
      </c>
      <c r="O26" s="2">
        <v>84.963031423290204</v>
      </c>
      <c r="P26" s="2">
        <v>84.963031423290204</v>
      </c>
      <c r="Q26" s="2">
        <v>48.151003317525998</v>
      </c>
      <c r="R26" s="2">
        <v>84.963031423290204</v>
      </c>
      <c r="S26" s="2">
        <v>78.829712273059201</v>
      </c>
      <c r="T26" s="2">
        <v>15.138816134101599</v>
      </c>
      <c r="U26" s="2">
        <v>63.141349906055801</v>
      </c>
      <c r="V26" s="2">
        <v>84.861183865898397</v>
      </c>
      <c r="W26" s="2">
        <v>78.735375467572794</v>
      </c>
      <c r="X26" s="2">
        <v>51.1787010630023</v>
      </c>
      <c r="Y26" s="2">
        <v>84.861183865898397</v>
      </c>
      <c r="Z26" s="2">
        <v>84.861183865898397</v>
      </c>
      <c r="AA26" s="2">
        <v>48.815959520427697</v>
      </c>
      <c r="AB26" s="2">
        <v>84.861183865898397</v>
      </c>
      <c r="AC26" s="2">
        <v>78.943647035150093</v>
      </c>
      <c r="AD26" s="2">
        <v>103211.77491820299</v>
      </c>
      <c r="AE26" s="2">
        <v>35.753304</v>
      </c>
      <c r="AF26" s="2">
        <v>13480</v>
      </c>
      <c r="AG26" s="2">
        <v>14120</v>
      </c>
      <c r="AH26" s="2" t="s">
        <v>71</v>
      </c>
      <c r="AI26" s="3">
        <v>46305</v>
      </c>
      <c r="AJ26" s="2" t="s">
        <v>47</v>
      </c>
      <c r="AK26" s="2" t="s">
        <v>48</v>
      </c>
      <c r="AL26" s="2" t="s">
        <v>49</v>
      </c>
      <c r="AM26" s="2" t="s">
        <v>50</v>
      </c>
    </row>
    <row r="27" spans="1:39" x14ac:dyDescent="0.2">
      <c r="A27" s="1">
        <v>0</v>
      </c>
      <c r="B27" s="2">
        <v>2.2999999999999998</v>
      </c>
      <c r="C27" s="2" t="s">
        <v>45</v>
      </c>
      <c r="D27" s="2" t="s">
        <v>44</v>
      </c>
      <c r="E27" s="2">
        <v>85.249537892791096</v>
      </c>
      <c r="F27" s="2">
        <v>1596</v>
      </c>
      <c r="G27" s="2">
        <v>85.437401781037195</v>
      </c>
      <c r="H27" s="2">
        <v>278</v>
      </c>
      <c r="I27" s="2" t="s">
        <v>100</v>
      </c>
      <c r="J27" s="2">
        <v>14.7504621072089</v>
      </c>
      <c r="K27" s="2">
        <v>89.676614883665195</v>
      </c>
      <c r="L27" s="2">
        <v>85.249537892791096</v>
      </c>
      <c r="M27" s="2">
        <v>86.5580416427361</v>
      </c>
      <c r="N27" s="2">
        <v>50.491156500276801</v>
      </c>
      <c r="O27" s="2">
        <v>85.249537892791096</v>
      </c>
      <c r="P27" s="2">
        <v>85.249537892791096</v>
      </c>
      <c r="Q27" s="2">
        <v>46.995193547262303</v>
      </c>
      <c r="R27" s="2">
        <v>85.249537892791096</v>
      </c>
      <c r="S27" s="2">
        <v>78.615788449060403</v>
      </c>
      <c r="T27" s="2">
        <v>14.562598218962799</v>
      </c>
      <c r="U27" s="2">
        <v>92.691903259726601</v>
      </c>
      <c r="V27" s="2">
        <v>85.437401781037195</v>
      </c>
      <c r="W27" s="2">
        <v>87.565899312515498</v>
      </c>
      <c r="X27" s="2">
        <v>51.228070175438603</v>
      </c>
      <c r="Y27" s="2">
        <v>85.437401781037195</v>
      </c>
      <c r="Z27" s="2">
        <v>85.437401781037195</v>
      </c>
      <c r="AA27" s="2">
        <v>48.455116201369101</v>
      </c>
      <c r="AB27" s="2">
        <v>85.437401781037195</v>
      </c>
      <c r="AC27" s="2">
        <v>79.079284656023106</v>
      </c>
      <c r="AD27" s="2">
        <v>752329.30051453202</v>
      </c>
      <c r="AE27" s="2">
        <v>0.91067200000000004</v>
      </c>
      <c r="AF27" s="2">
        <v>5899</v>
      </c>
      <c r="AG27" s="2">
        <v>3722</v>
      </c>
      <c r="AH27" s="2" t="s">
        <v>72</v>
      </c>
      <c r="AI27" s="3">
        <v>46305</v>
      </c>
      <c r="AJ27" s="2" t="s">
        <v>47</v>
      </c>
      <c r="AK27" s="2" t="s">
        <v>48</v>
      </c>
      <c r="AL27" s="2" t="s">
        <v>49</v>
      </c>
      <c r="AM27" s="2" t="s">
        <v>50</v>
      </c>
    </row>
    <row r="28" spans="1:39" x14ac:dyDescent="0.2">
      <c r="A28" s="1">
        <v>0</v>
      </c>
      <c r="B28" s="2">
        <v>2.4</v>
      </c>
      <c r="C28" s="2" t="s">
        <v>73</v>
      </c>
      <c r="D28" s="2" t="s">
        <v>44</v>
      </c>
      <c r="E28" s="2">
        <v>85.739371534195897</v>
      </c>
      <c r="F28" s="2">
        <v>1543</v>
      </c>
      <c r="G28" s="2">
        <v>85.646935568360405</v>
      </c>
      <c r="H28" s="2">
        <v>274</v>
      </c>
      <c r="I28" s="2" t="s">
        <v>73</v>
      </c>
      <c r="J28" s="2">
        <v>14.2606284658041</v>
      </c>
      <c r="K28" s="2">
        <v>72.733854512378002</v>
      </c>
      <c r="L28" s="2">
        <v>85.739371534195897</v>
      </c>
      <c r="M28" s="2">
        <v>82.576077453789594</v>
      </c>
      <c r="N28" s="2">
        <v>56.233241858034503</v>
      </c>
      <c r="O28" s="2">
        <v>85.739371534195897</v>
      </c>
      <c r="P28" s="2">
        <v>85.739371534195897</v>
      </c>
      <c r="Q28" s="2">
        <v>57.515870101000203</v>
      </c>
      <c r="R28" s="2">
        <v>85.739371534195897</v>
      </c>
      <c r="S28" s="2">
        <v>81.831797517875302</v>
      </c>
      <c r="T28" s="2">
        <v>14.3530644316396</v>
      </c>
      <c r="U28" s="2">
        <v>72.426953181972905</v>
      </c>
      <c r="V28" s="2">
        <v>85.646935568360405</v>
      </c>
      <c r="W28" s="2">
        <v>82.399661021619593</v>
      </c>
      <c r="X28" s="2">
        <v>55.980036297640702</v>
      </c>
      <c r="Y28" s="2">
        <v>85.646935568360405</v>
      </c>
      <c r="Z28" s="2">
        <v>85.646935568360405</v>
      </c>
      <c r="AA28" s="2">
        <v>57.1268622462362</v>
      </c>
      <c r="AB28" s="2">
        <v>85.646935568360405</v>
      </c>
      <c r="AC28" s="2">
        <v>81.653758956784898</v>
      </c>
      <c r="AD28" s="2">
        <v>576574.65629329602</v>
      </c>
      <c r="AE28" s="2">
        <v>2.4550779999999999</v>
      </c>
      <c r="AF28" s="2">
        <v>2486822</v>
      </c>
      <c r="AG28" s="2">
        <v>6001</v>
      </c>
      <c r="AH28" s="2" t="s">
        <v>47</v>
      </c>
      <c r="AI28" s="3">
        <v>46305</v>
      </c>
      <c r="AJ28" s="2" t="s">
        <v>47</v>
      </c>
      <c r="AK28" s="2" t="s">
        <v>48</v>
      </c>
      <c r="AL28" s="2" t="s">
        <v>49</v>
      </c>
      <c r="AM28" s="2" t="s">
        <v>50</v>
      </c>
    </row>
    <row r="29" spans="1:39" x14ac:dyDescent="0.2">
      <c r="A29" s="1">
        <v>0</v>
      </c>
      <c r="B29" s="2">
        <v>2.5</v>
      </c>
      <c r="C29" s="2" t="s">
        <v>74</v>
      </c>
      <c r="D29" s="2" t="s">
        <v>44</v>
      </c>
      <c r="E29" s="2">
        <v>85.110905730129403</v>
      </c>
      <c r="F29" s="2">
        <v>1611</v>
      </c>
      <c r="G29" s="2">
        <v>85.070717653221607</v>
      </c>
      <c r="H29" s="2">
        <v>285</v>
      </c>
      <c r="I29" s="2" t="s">
        <v>74</v>
      </c>
      <c r="J29" s="2">
        <v>14.889094269870601</v>
      </c>
      <c r="K29" s="2" t="s">
        <v>52</v>
      </c>
      <c r="L29" s="2">
        <v>85.110905730129403</v>
      </c>
      <c r="M29" s="2" t="s">
        <v>52</v>
      </c>
      <c r="N29" s="2">
        <v>50</v>
      </c>
      <c r="O29" s="2">
        <v>85.110905730129403</v>
      </c>
      <c r="P29" s="2">
        <v>85.110905730129403</v>
      </c>
      <c r="Q29" s="2">
        <v>45.978331419441801</v>
      </c>
      <c r="R29" s="2">
        <v>85.110905730129403</v>
      </c>
      <c r="S29" s="2">
        <v>78.265148621375204</v>
      </c>
      <c r="T29" s="2">
        <v>14.9292823467784</v>
      </c>
      <c r="U29" s="2" t="s">
        <v>52</v>
      </c>
      <c r="V29" s="2">
        <v>85.070717653221607</v>
      </c>
      <c r="W29" s="2" t="s">
        <v>52</v>
      </c>
      <c r="X29" s="2">
        <v>50</v>
      </c>
      <c r="Y29" s="2">
        <v>85.070717653221607</v>
      </c>
      <c r="Z29" s="2">
        <v>85.070717653221607</v>
      </c>
      <c r="AA29" s="2">
        <v>45.966600622700298</v>
      </c>
      <c r="AB29" s="2">
        <v>85.070717653221607</v>
      </c>
      <c r="AC29" s="2">
        <v>78.208234061042702</v>
      </c>
      <c r="AD29" s="2">
        <v>745127.74602300103</v>
      </c>
      <c r="AE29" s="2">
        <v>1.0313399999999999</v>
      </c>
      <c r="AF29" s="2">
        <v>11632</v>
      </c>
      <c r="AG29" s="2">
        <v>3496</v>
      </c>
      <c r="AH29" s="2" t="s">
        <v>75</v>
      </c>
      <c r="AI29" s="3">
        <v>46305</v>
      </c>
      <c r="AJ29" s="2" t="s">
        <v>47</v>
      </c>
      <c r="AK29" s="2" t="s">
        <v>48</v>
      </c>
      <c r="AL29" s="2" t="s">
        <v>49</v>
      </c>
      <c r="AM29" s="2" t="s">
        <v>50</v>
      </c>
    </row>
    <row r="30" spans="1:39" x14ac:dyDescent="0.2">
      <c r="A30" s="1">
        <v>0</v>
      </c>
      <c r="B30" s="2">
        <v>2.6</v>
      </c>
      <c r="C30" s="2" t="s">
        <v>76</v>
      </c>
      <c r="D30" s="2" t="s">
        <v>44</v>
      </c>
      <c r="E30" s="2">
        <v>85.110905730129403</v>
      </c>
      <c r="F30" s="2">
        <v>1611</v>
      </c>
      <c r="G30" s="2">
        <v>85.070717653221607</v>
      </c>
      <c r="H30" s="2">
        <v>285</v>
      </c>
      <c r="I30" s="2" t="s">
        <v>76</v>
      </c>
      <c r="J30" s="2">
        <v>14.889094269870601</v>
      </c>
      <c r="K30" s="2" t="s">
        <v>52</v>
      </c>
      <c r="L30" s="2">
        <v>85.110905730129403</v>
      </c>
      <c r="M30" s="2" t="s">
        <v>52</v>
      </c>
      <c r="N30" s="2">
        <v>50</v>
      </c>
      <c r="O30" s="2">
        <v>85.110905730129403</v>
      </c>
      <c r="P30" s="2">
        <v>85.110905730129403</v>
      </c>
      <c r="Q30" s="2">
        <v>45.978331419441801</v>
      </c>
      <c r="R30" s="2">
        <v>85.110905730129403</v>
      </c>
      <c r="S30" s="2">
        <v>78.265148621375204</v>
      </c>
      <c r="T30" s="2">
        <v>14.9292823467784</v>
      </c>
      <c r="U30" s="2" t="s">
        <v>52</v>
      </c>
      <c r="V30" s="2">
        <v>85.070717653221607</v>
      </c>
      <c r="W30" s="2" t="s">
        <v>52</v>
      </c>
      <c r="X30" s="2">
        <v>50</v>
      </c>
      <c r="Y30" s="2">
        <v>85.070717653221607</v>
      </c>
      <c r="Z30" s="2">
        <v>85.070717653221607</v>
      </c>
      <c r="AA30" s="2">
        <v>45.966600622700298</v>
      </c>
      <c r="AB30" s="2">
        <v>85.070717653221607</v>
      </c>
      <c r="AC30" s="2">
        <v>78.208234061042702</v>
      </c>
      <c r="AD30" s="2">
        <v>720516.74768595595</v>
      </c>
      <c r="AE30" s="2">
        <v>0.52207499999999996</v>
      </c>
      <c r="AF30" s="2">
        <v>11590</v>
      </c>
      <c r="AG30" s="2">
        <v>3496</v>
      </c>
      <c r="AH30" s="2" t="s">
        <v>77</v>
      </c>
      <c r="AI30" s="3">
        <v>46305</v>
      </c>
      <c r="AJ30" s="2" t="s">
        <v>47</v>
      </c>
      <c r="AK30" s="2" t="s">
        <v>48</v>
      </c>
      <c r="AL30" s="2" t="s">
        <v>49</v>
      </c>
      <c r="AM30" s="2" t="s">
        <v>50</v>
      </c>
    </row>
    <row r="31" spans="1:39" x14ac:dyDescent="0.2">
      <c r="A31" s="1">
        <v>0</v>
      </c>
      <c r="B31" s="2">
        <v>2.7</v>
      </c>
      <c r="C31" s="2" t="s">
        <v>78</v>
      </c>
      <c r="D31" s="2" t="s">
        <v>44</v>
      </c>
      <c r="E31" s="2">
        <v>83.752310536044405</v>
      </c>
      <c r="F31" s="2">
        <v>1758</v>
      </c>
      <c r="G31" s="2">
        <v>83.918281822943996</v>
      </c>
      <c r="H31" s="2">
        <v>307</v>
      </c>
      <c r="I31" s="2" t="s">
        <v>101</v>
      </c>
      <c r="J31" s="2">
        <v>16.247689463955599</v>
      </c>
      <c r="K31" s="2">
        <v>65.421098145730795</v>
      </c>
      <c r="L31" s="2">
        <v>83.752310536044405</v>
      </c>
      <c r="M31" s="2">
        <v>81.295334724440906</v>
      </c>
      <c r="N31" s="2">
        <v>60.417800334180399</v>
      </c>
      <c r="O31" s="2">
        <v>83.752310536044405</v>
      </c>
      <c r="P31" s="2">
        <v>83.752310536044405</v>
      </c>
      <c r="Q31" s="2">
        <v>62.003846285683203</v>
      </c>
      <c r="R31" s="2">
        <v>83.752310536044405</v>
      </c>
      <c r="S31" s="2">
        <v>82.190119358520207</v>
      </c>
      <c r="T31" s="2">
        <v>16.081718177056</v>
      </c>
      <c r="U31" s="2">
        <v>65.120907348051404</v>
      </c>
      <c r="V31" s="2">
        <v>83.918281822943996</v>
      </c>
      <c r="W31" s="2">
        <v>80.802953716824703</v>
      </c>
      <c r="X31" s="2">
        <v>58.724937343358398</v>
      </c>
      <c r="Y31" s="2">
        <v>83.918281822943996</v>
      </c>
      <c r="Z31" s="2">
        <v>83.918281822943996</v>
      </c>
      <c r="AA31" s="2">
        <v>60.334064976104898</v>
      </c>
      <c r="AB31" s="2">
        <v>83.918281822943996</v>
      </c>
      <c r="AC31" s="2">
        <v>81.787370925777097</v>
      </c>
      <c r="AD31" s="2">
        <v>507409.49165259802</v>
      </c>
      <c r="AE31" s="2">
        <v>0.92777500000000002</v>
      </c>
      <c r="AF31" s="2">
        <v>8976</v>
      </c>
      <c r="AG31" s="2">
        <v>7327</v>
      </c>
      <c r="AH31" s="2" t="s">
        <v>79</v>
      </c>
      <c r="AI31" s="3">
        <v>46305</v>
      </c>
      <c r="AJ31" s="2" t="s">
        <v>47</v>
      </c>
      <c r="AK31" s="2" t="s">
        <v>48</v>
      </c>
      <c r="AL31" s="2" t="s">
        <v>49</v>
      </c>
      <c r="AM31" s="2" t="s">
        <v>50</v>
      </c>
    </row>
    <row r="32" spans="1:39" x14ac:dyDescent="0.2">
      <c r="A32" s="1">
        <v>0</v>
      </c>
      <c r="B32" s="2">
        <v>2.8</v>
      </c>
      <c r="C32" s="2" t="s">
        <v>78</v>
      </c>
      <c r="D32" s="2" t="s">
        <v>44</v>
      </c>
      <c r="E32" s="2">
        <v>84.038817005545297</v>
      </c>
      <c r="F32" s="2">
        <v>1727</v>
      </c>
      <c r="G32" s="2">
        <v>83.918281822943996</v>
      </c>
      <c r="H32" s="2">
        <v>307</v>
      </c>
      <c r="I32" s="2" t="s">
        <v>102</v>
      </c>
      <c r="J32" s="2">
        <v>15.961182994454701</v>
      </c>
      <c r="K32" s="2">
        <v>65.544940105362102</v>
      </c>
      <c r="L32" s="2">
        <v>84.038817005545297</v>
      </c>
      <c r="M32" s="2">
        <v>81.0681920593603</v>
      </c>
      <c r="N32" s="2">
        <v>59.203327729957302</v>
      </c>
      <c r="O32" s="2">
        <v>84.038817005545297</v>
      </c>
      <c r="P32" s="2">
        <v>84.038817005545297</v>
      </c>
      <c r="Q32" s="2">
        <v>60.880465553724299</v>
      </c>
      <c r="R32" s="2">
        <v>84.038817005545297</v>
      </c>
      <c r="S32" s="2">
        <v>82.016460067950803</v>
      </c>
      <c r="T32" s="2">
        <v>16.081718177056</v>
      </c>
      <c r="U32" s="2">
        <v>64.361752016507197</v>
      </c>
      <c r="V32" s="2">
        <v>83.918281822943996</v>
      </c>
      <c r="W32" s="2">
        <v>80.280410624907702</v>
      </c>
      <c r="X32" s="2">
        <v>57.2784331518451</v>
      </c>
      <c r="Y32" s="2">
        <v>83.918281822943996</v>
      </c>
      <c r="Z32" s="2">
        <v>83.918281822943996</v>
      </c>
      <c r="AA32" s="2">
        <v>58.676070023134699</v>
      </c>
      <c r="AB32" s="2">
        <v>83.918281822943996</v>
      </c>
      <c r="AC32" s="2">
        <v>81.329770827387094</v>
      </c>
      <c r="AD32" s="2">
        <v>1042.26008222873</v>
      </c>
      <c r="AE32" s="2">
        <v>45.759574999999998</v>
      </c>
      <c r="AF32" s="2">
        <v>3155968</v>
      </c>
      <c r="AG32" s="2">
        <v>1565693</v>
      </c>
      <c r="AH32" s="2" t="s">
        <v>80</v>
      </c>
      <c r="AI32" s="3">
        <v>46305</v>
      </c>
      <c r="AJ32" s="2" t="s">
        <v>47</v>
      </c>
      <c r="AK32" s="2" t="s">
        <v>48</v>
      </c>
      <c r="AL32" s="2" t="s">
        <v>49</v>
      </c>
      <c r="AM32" s="2" t="s">
        <v>50</v>
      </c>
    </row>
    <row r="33" spans="1:39" x14ac:dyDescent="0.2">
      <c r="A33" s="1">
        <v>0</v>
      </c>
      <c r="B33" s="2">
        <v>2.9</v>
      </c>
      <c r="C33" s="2" t="s">
        <v>51</v>
      </c>
      <c r="D33" s="2" t="s">
        <v>44</v>
      </c>
      <c r="E33" s="2">
        <v>85.110905730129403</v>
      </c>
      <c r="F33" s="2">
        <v>1611</v>
      </c>
      <c r="G33" s="2">
        <v>85.070717653221607</v>
      </c>
      <c r="H33" s="2">
        <v>285</v>
      </c>
      <c r="I33" s="2" t="s">
        <v>103</v>
      </c>
      <c r="J33" s="2">
        <v>14.889094269870601</v>
      </c>
      <c r="K33" s="2" t="s">
        <v>52</v>
      </c>
      <c r="L33" s="2">
        <v>85.110905730129403</v>
      </c>
      <c r="M33" s="2" t="s">
        <v>52</v>
      </c>
      <c r="N33" s="2">
        <v>50</v>
      </c>
      <c r="O33" s="2">
        <v>85.110905730129403</v>
      </c>
      <c r="P33" s="2">
        <v>85.110905730129403</v>
      </c>
      <c r="Q33" s="2">
        <v>45.978331419441801</v>
      </c>
      <c r="R33" s="2">
        <v>85.110905730129403</v>
      </c>
      <c r="S33" s="2">
        <v>78.265148621375204</v>
      </c>
      <c r="T33" s="2">
        <v>14.9292823467784</v>
      </c>
      <c r="U33" s="2" t="s">
        <v>52</v>
      </c>
      <c r="V33" s="2">
        <v>85.070717653221607</v>
      </c>
      <c r="W33" s="2" t="s">
        <v>52</v>
      </c>
      <c r="X33" s="2">
        <v>50</v>
      </c>
      <c r="Y33" s="2">
        <v>85.070717653221607</v>
      </c>
      <c r="Z33" s="2">
        <v>85.070717653221607</v>
      </c>
      <c r="AA33" s="2">
        <v>45.966600622700298</v>
      </c>
      <c r="AB33" s="2">
        <v>85.070717653221607</v>
      </c>
      <c r="AC33" s="2">
        <v>78.208234061042702</v>
      </c>
      <c r="AD33" s="2">
        <v>31426.447010711701</v>
      </c>
      <c r="AE33" s="2">
        <v>8.9495539999999991</v>
      </c>
      <c r="AF33" s="2">
        <v>401619</v>
      </c>
      <c r="AG33" s="2">
        <v>399530</v>
      </c>
      <c r="AH33" s="2" t="s">
        <v>81</v>
      </c>
      <c r="AI33" s="3">
        <v>46305</v>
      </c>
      <c r="AJ33" s="2" t="s">
        <v>47</v>
      </c>
      <c r="AK33" s="2" t="s">
        <v>48</v>
      </c>
      <c r="AL33" s="2" t="s">
        <v>49</v>
      </c>
      <c r="AM33" s="2" t="s">
        <v>50</v>
      </c>
    </row>
  </sheetData>
  <sortState xmlns:xlrd2="http://schemas.microsoft.com/office/spreadsheetml/2017/richdata2" ref="A10:AM33">
    <sortCondition ref="B10:B33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2A88-EBB9-7442-AC49-CFC13388855D}">
  <dimension ref="A1:AM33"/>
  <sheetViews>
    <sheetView workbookViewId="0">
      <selection activeCell="E10" sqref="E10"/>
    </sheetView>
  </sheetViews>
  <sheetFormatPr baseColWidth="10" defaultColWidth="11" defaultRowHeight="16" x14ac:dyDescent="0.2"/>
  <sheetData>
    <row r="1" spans="1:39" x14ac:dyDescent="0.2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 x14ac:dyDescent="0.2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x14ac:dyDescent="0.2">
      <c r="A3" s="1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2">
      <c r="A4" s="1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x14ac:dyDescent="0.2">
      <c r="A5" s="1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x14ac:dyDescent="0.2">
      <c r="A6" s="1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x14ac:dyDescent="0.2">
      <c r="A9" s="1" t="s">
        <v>6</v>
      </c>
      <c r="B9" s="2" t="s">
        <v>7</v>
      </c>
      <c r="C9" s="2" t="s">
        <v>9</v>
      </c>
      <c r="D9" s="2" t="s">
        <v>8</v>
      </c>
      <c r="E9" s="2" t="s">
        <v>10</v>
      </c>
      <c r="F9" s="2" t="s">
        <v>11</v>
      </c>
      <c r="G9" s="2" t="s">
        <v>22</v>
      </c>
      <c r="H9" s="2" t="s">
        <v>23</v>
      </c>
      <c r="I9" s="2" t="s">
        <v>82</v>
      </c>
      <c r="J9" s="2" t="s">
        <v>12</v>
      </c>
      <c r="K9" s="2" t="s">
        <v>13</v>
      </c>
      <c r="L9" s="2" t="s">
        <v>14</v>
      </c>
      <c r="M9" s="2" t="s">
        <v>15</v>
      </c>
      <c r="N9" s="2" t="s">
        <v>16</v>
      </c>
      <c r="O9" s="2" t="s">
        <v>17</v>
      </c>
      <c r="P9" s="2" t="s">
        <v>18</v>
      </c>
      <c r="Q9" s="2" t="s">
        <v>19</v>
      </c>
      <c r="R9" s="2" t="s">
        <v>20</v>
      </c>
      <c r="S9" s="2" t="s">
        <v>21</v>
      </c>
      <c r="T9" s="2" t="s">
        <v>24</v>
      </c>
      <c r="U9" s="2" t="s">
        <v>25</v>
      </c>
      <c r="V9" s="2" t="s">
        <v>26</v>
      </c>
      <c r="W9" s="2" t="s">
        <v>27</v>
      </c>
      <c r="X9" s="2" t="s">
        <v>28</v>
      </c>
      <c r="Y9" s="2" t="s">
        <v>29</v>
      </c>
      <c r="Z9" s="2" t="s">
        <v>30</v>
      </c>
      <c r="AA9" s="2" t="s">
        <v>31</v>
      </c>
      <c r="AB9" s="2" t="s">
        <v>32</v>
      </c>
      <c r="AC9" s="2" t="s">
        <v>33</v>
      </c>
      <c r="AD9" s="2" t="s">
        <v>34</v>
      </c>
      <c r="AE9" s="2" t="s">
        <v>35</v>
      </c>
      <c r="AF9" s="2" t="s">
        <v>36</v>
      </c>
      <c r="AG9" s="2" t="s">
        <v>37</v>
      </c>
      <c r="AH9" s="2" t="s">
        <v>38</v>
      </c>
      <c r="AI9" s="2" t="s">
        <v>39</v>
      </c>
      <c r="AJ9" s="2" t="s">
        <v>40</v>
      </c>
      <c r="AK9" s="2" t="s">
        <v>41</v>
      </c>
      <c r="AL9" s="2" t="s">
        <v>42</v>
      </c>
      <c r="AM9" s="2" t="s">
        <v>43</v>
      </c>
    </row>
    <row r="10" spans="1:39" x14ac:dyDescent="0.2">
      <c r="A10" s="1">
        <v>0</v>
      </c>
      <c r="B10" s="2">
        <v>2.1</v>
      </c>
      <c r="C10" s="2" t="s">
        <v>45</v>
      </c>
      <c r="D10" s="2" t="s">
        <v>44</v>
      </c>
      <c r="E10" s="2">
        <v>85.036968576709796</v>
      </c>
      <c r="F10" s="2">
        <v>1619</v>
      </c>
      <c r="G10" s="2">
        <v>85.908852802514403</v>
      </c>
      <c r="H10" s="2">
        <v>269</v>
      </c>
      <c r="I10" s="2" t="s">
        <v>83</v>
      </c>
      <c r="J10" s="2">
        <v>14.9630314232902</v>
      </c>
      <c r="K10" s="2">
        <v>68.459867025267698</v>
      </c>
      <c r="L10" s="2">
        <v>85.036968576709796</v>
      </c>
      <c r="M10" s="2">
        <v>81.779061375252297</v>
      </c>
      <c r="N10" s="2">
        <v>58.610499985986898</v>
      </c>
      <c r="O10" s="2">
        <v>85.036968576709796</v>
      </c>
      <c r="P10" s="2">
        <v>85.036968576709796</v>
      </c>
      <c r="Q10" s="2">
        <v>60.543125035545899</v>
      </c>
      <c r="R10" s="2">
        <v>85.036968576709796</v>
      </c>
      <c r="S10" s="2">
        <v>82.367786095801705</v>
      </c>
      <c r="T10" s="2">
        <v>14.091147197485601</v>
      </c>
      <c r="U10" s="2">
        <v>71.803893971381697</v>
      </c>
      <c r="V10" s="2">
        <v>85.908852802514403</v>
      </c>
      <c r="W10" s="2">
        <v>83.486877166285296</v>
      </c>
      <c r="X10" s="2">
        <v>62.084507042253499</v>
      </c>
      <c r="Y10" s="2">
        <v>85.908852802514403</v>
      </c>
      <c r="Z10" s="2">
        <v>85.908852802514403</v>
      </c>
      <c r="AA10" s="2">
        <v>64.679296311046102</v>
      </c>
      <c r="AB10" s="2">
        <v>85.908852802514403</v>
      </c>
      <c r="AC10" s="2">
        <v>83.914995807707598</v>
      </c>
      <c r="AD10" s="2">
        <v>720948.827292111</v>
      </c>
      <c r="AE10" s="2">
        <v>3.8117839999999998</v>
      </c>
      <c r="AF10" s="2">
        <v>31251</v>
      </c>
      <c r="AG10" s="2">
        <v>21442</v>
      </c>
      <c r="AH10" s="2" t="s">
        <v>46</v>
      </c>
      <c r="AI10" s="3">
        <v>46305</v>
      </c>
      <c r="AJ10" s="2" t="s">
        <v>47</v>
      </c>
      <c r="AK10" s="2" t="s">
        <v>48</v>
      </c>
      <c r="AL10" s="2" t="s">
        <v>49</v>
      </c>
      <c r="AM10" s="2" t="s">
        <v>50</v>
      </c>
    </row>
    <row r="11" spans="1:39" x14ac:dyDescent="0.2">
      <c r="A11" s="1">
        <v>0</v>
      </c>
      <c r="B11" s="2">
        <v>2.1</v>
      </c>
      <c r="C11" s="2" t="s">
        <v>51</v>
      </c>
      <c r="D11" s="2" t="s">
        <v>44</v>
      </c>
      <c r="E11" s="2">
        <v>85.101663585951897</v>
      </c>
      <c r="F11" s="2">
        <v>1612</v>
      </c>
      <c r="G11" s="2">
        <v>85.123101100052395</v>
      </c>
      <c r="H11" s="2">
        <v>284</v>
      </c>
      <c r="I11" s="2" t="s">
        <v>84</v>
      </c>
      <c r="J11" s="2">
        <v>14.898336414048099</v>
      </c>
      <c r="K11" s="2" t="s">
        <v>52</v>
      </c>
      <c r="L11" s="2">
        <v>85.101663585951897</v>
      </c>
      <c r="M11" s="2" t="s">
        <v>52</v>
      </c>
      <c r="N11" s="2">
        <v>50</v>
      </c>
      <c r="O11" s="2">
        <v>85.101663585951897</v>
      </c>
      <c r="P11" s="2">
        <v>85.101663585951897</v>
      </c>
      <c r="Q11" s="2">
        <v>45.975634112242901</v>
      </c>
      <c r="R11" s="2">
        <v>85.101663585951897</v>
      </c>
      <c r="S11" s="2">
        <v>78.252058947418206</v>
      </c>
      <c r="T11" s="2">
        <v>14.8768988999476</v>
      </c>
      <c r="U11" s="2" t="s">
        <v>52</v>
      </c>
      <c r="V11" s="2">
        <v>85.123101100052395</v>
      </c>
      <c r="W11" s="2" t="s">
        <v>52</v>
      </c>
      <c r="X11" s="2">
        <v>50</v>
      </c>
      <c r="Y11" s="2">
        <v>85.123101100052395</v>
      </c>
      <c r="Z11" s="2">
        <v>85.123101100052395</v>
      </c>
      <c r="AA11" s="2">
        <v>45.9818902093945</v>
      </c>
      <c r="AB11" s="2">
        <v>85.123101100052395</v>
      </c>
      <c r="AC11" s="2">
        <v>78.282421781315904</v>
      </c>
      <c r="AD11" s="2">
        <v>21273.625619579601</v>
      </c>
      <c r="AE11" s="2">
        <v>62.572848</v>
      </c>
      <c r="AF11" s="2">
        <v>518403</v>
      </c>
      <c r="AG11" s="2">
        <v>516410</v>
      </c>
      <c r="AH11" s="2" t="s">
        <v>53</v>
      </c>
      <c r="AI11" s="3">
        <v>46305</v>
      </c>
      <c r="AJ11" s="2" t="s">
        <v>47</v>
      </c>
      <c r="AK11" s="2" t="s">
        <v>48</v>
      </c>
      <c r="AL11" s="2" t="s">
        <v>49</v>
      </c>
      <c r="AM11" s="2" t="s">
        <v>50</v>
      </c>
    </row>
    <row r="12" spans="1:39" x14ac:dyDescent="0.2">
      <c r="A12" s="1">
        <v>0</v>
      </c>
      <c r="B12" s="2">
        <v>2.11</v>
      </c>
      <c r="C12" s="2" t="s">
        <v>51</v>
      </c>
      <c r="D12" s="2" t="s">
        <v>44</v>
      </c>
      <c r="E12" s="2">
        <v>85.591497227356797</v>
      </c>
      <c r="F12" s="2">
        <v>1559</v>
      </c>
      <c r="G12" s="2">
        <v>85.646935568360405</v>
      </c>
      <c r="H12" s="2">
        <v>274</v>
      </c>
      <c r="I12" s="2" t="s">
        <v>85</v>
      </c>
      <c r="J12" s="2">
        <v>14.4085027726432</v>
      </c>
      <c r="K12" s="2">
        <v>76.698257438304594</v>
      </c>
      <c r="L12" s="2">
        <v>85.591497227356797</v>
      </c>
      <c r="M12" s="2">
        <v>83.120870999593805</v>
      </c>
      <c r="N12" s="2">
        <v>52.8976987321414</v>
      </c>
      <c r="O12" s="2">
        <v>85.591497227356797</v>
      </c>
      <c r="P12" s="2">
        <v>85.591497227356697</v>
      </c>
      <c r="Q12" s="2">
        <v>51.863974789253398</v>
      </c>
      <c r="R12" s="2">
        <v>85.591497227356797</v>
      </c>
      <c r="S12" s="2">
        <v>80.150853495208196</v>
      </c>
      <c r="T12" s="2">
        <v>14.3530644316396</v>
      </c>
      <c r="U12" s="2">
        <v>81.749809036958695</v>
      </c>
      <c r="V12" s="2">
        <v>85.646935568360405</v>
      </c>
      <c r="W12" s="2">
        <v>84.540010146734303</v>
      </c>
      <c r="X12" s="2">
        <v>52.341711809317403</v>
      </c>
      <c r="Y12" s="2">
        <v>85.646935568360405</v>
      </c>
      <c r="Z12" s="2">
        <v>85.646935568360405</v>
      </c>
      <c r="AA12" s="2">
        <v>50.739288324329998</v>
      </c>
      <c r="AB12" s="2">
        <v>85.646935568360405</v>
      </c>
      <c r="AC12" s="2">
        <v>79.868818476317998</v>
      </c>
      <c r="AD12" s="2">
        <v>306064.72052500601</v>
      </c>
      <c r="AE12" s="2">
        <v>548.01214900000002</v>
      </c>
      <c r="AF12" s="2">
        <v>432843</v>
      </c>
      <c r="AG12" s="2">
        <v>430850</v>
      </c>
      <c r="AH12" s="2" t="s">
        <v>54</v>
      </c>
      <c r="AI12" s="3">
        <v>46305</v>
      </c>
      <c r="AJ12" s="2" t="s">
        <v>47</v>
      </c>
      <c r="AK12" s="2" t="s">
        <v>48</v>
      </c>
      <c r="AL12" s="2" t="s">
        <v>49</v>
      </c>
      <c r="AM12" s="2" t="s">
        <v>50</v>
      </c>
    </row>
    <row r="13" spans="1:39" x14ac:dyDescent="0.2">
      <c r="A13" s="1">
        <v>0</v>
      </c>
      <c r="B13" s="2">
        <v>2.12</v>
      </c>
      <c r="C13" s="2" t="s">
        <v>51</v>
      </c>
      <c r="D13" s="2" t="s">
        <v>44</v>
      </c>
      <c r="E13" s="2">
        <v>85.101663585951897</v>
      </c>
      <c r="F13" s="2">
        <v>1612</v>
      </c>
      <c r="G13" s="2">
        <v>85.123101100052395</v>
      </c>
      <c r="H13" s="2">
        <v>284</v>
      </c>
      <c r="I13" s="2" t="s">
        <v>86</v>
      </c>
      <c r="J13" s="2">
        <v>14.898336414048099</v>
      </c>
      <c r="K13" s="2" t="s">
        <v>52</v>
      </c>
      <c r="L13" s="2">
        <v>85.101663585951897</v>
      </c>
      <c r="M13" s="2" t="s">
        <v>52</v>
      </c>
      <c r="N13" s="2">
        <v>50</v>
      </c>
      <c r="O13" s="2">
        <v>85.101663585951897</v>
      </c>
      <c r="P13" s="2">
        <v>85.101663585951897</v>
      </c>
      <c r="Q13" s="2">
        <v>45.975634112242901</v>
      </c>
      <c r="R13" s="2">
        <v>85.101663585951897</v>
      </c>
      <c r="S13" s="2">
        <v>78.252058947418206</v>
      </c>
      <c r="T13" s="2">
        <v>14.8768988999476</v>
      </c>
      <c r="U13" s="2" t="s">
        <v>52</v>
      </c>
      <c r="V13" s="2">
        <v>85.123101100052395</v>
      </c>
      <c r="W13" s="2" t="s">
        <v>52</v>
      </c>
      <c r="X13" s="2">
        <v>50</v>
      </c>
      <c r="Y13" s="2">
        <v>85.123101100052395</v>
      </c>
      <c r="Z13" s="2">
        <v>85.123101100052395</v>
      </c>
      <c r="AA13" s="2">
        <v>45.9818902093945</v>
      </c>
      <c r="AB13" s="2">
        <v>85.123101100052395</v>
      </c>
      <c r="AC13" s="2">
        <v>78.282421781315904</v>
      </c>
      <c r="AD13" s="2">
        <v>5081.7256074822499</v>
      </c>
      <c r="AE13" s="2">
        <v>42.573500000000003</v>
      </c>
      <c r="AF13" s="2">
        <v>1298759</v>
      </c>
      <c r="AG13" s="2">
        <v>1296770</v>
      </c>
      <c r="AH13" s="2" t="s">
        <v>55</v>
      </c>
      <c r="AI13" s="3">
        <v>46305</v>
      </c>
      <c r="AJ13" s="2" t="s">
        <v>47</v>
      </c>
      <c r="AK13" s="2" t="s">
        <v>48</v>
      </c>
      <c r="AL13" s="2" t="s">
        <v>49</v>
      </c>
      <c r="AM13" s="2" t="s">
        <v>50</v>
      </c>
    </row>
    <row r="14" spans="1:39" x14ac:dyDescent="0.2">
      <c r="A14" s="1">
        <v>0</v>
      </c>
      <c r="B14" s="2">
        <v>2.13</v>
      </c>
      <c r="C14" s="2" t="s">
        <v>51</v>
      </c>
      <c r="D14" s="2" t="s">
        <v>44</v>
      </c>
      <c r="E14" s="2">
        <v>85.2772643253235</v>
      </c>
      <c r="F14" s="2">
        <v>1593</v>
      </c>
      <c r="G14" s="2">
        <v>85.437401781037195</v>
      </c>
      <c r="H14" s="2">
        <v>278</v>
      </c>
      <c r="I14" s="2" t="s">
        <v>87</v>
      </c>
      <c r="J14" s="2">
        <v>14.7227356746765</v>
      </c>
      <c r="K14" s="2">
        <v>73.453635721988306</v>
      </c>
      <c r="L14" s="2">
        <v>85.2772643253235</v>
      </c>
      <c r="M14" s="2">
        <v>81.883547761685506</v>
      </c>
      <c r="N14" s="2">
        <v>51.408123909945601</v>
      </c>
      <c r="O14" s="2">
        <v>85.2772643253235</v>
      </c>
      <c r="P14" s="2">
        <v>85.2772643253235</v>
      </c>
      <c r="Q14" s="2">
        <v>49.015367481813897</v>
      </c>
      <c r="R14" s="2">
        <v>85.2772643253235</v>
      </c>
      <c r="S14" s="2">
        <v>79.201161281627506</v>
      </c>
      <c r="T14" s="2">
        <v>14.562598218962799</v>
      </c>
      <c r="U14" s="2">
        <v>82.733017377567094</v>
      </c>
      <c r="V14" s="2">
        <v>85.437401781037195</v>
      </c>
      <c r="W14" s="2">
        <v>84.652858290776905</v>
      </c>
      <c r="X14" s="2">
        <v>51.346912242686898</v>
      </c>
      <c r="Y14" s="2">
        <v>85.437401781037195</v>
      </c>
      <c r="Z14" s="2">
        <v>85.437401781037195</v>
      </c>
      <c r="AA14" s="2">
        <v>48.776707050584101</v>
      </c>
      <c r="AB14" s="2">
        <v>85.437401781037195</v>
      </c>
      <c r="AC14" s="2">
        <v>79.217568743176997</v>
      </c>
      <c r="AD14" s="2">
        <v>8199.9949981546197</v>
      </c>
      <c r="AE14" s="2">
        <v>33.770479999999999</v>
      </c>
      <c r="AF14" s="2">
        <v>492839</v>
      </c>
      <c r="AG14" s="2">
        <v>490850</v>
      </c>
      <c r="AH14" s="2" t="s">
        <v>56</v>
      </c>
      <c r="AI14" s="3">
        <v>46305</v>
      </c>
      <c r="AJ14" s="2" t="s">
        <v>47</v>
      </c>
      <c r="AK14" s="2" t="s">
        <v>48</v>
      </c>
      <c r="AL14" s="2" t="s">
        <v>49</v>
      </c>
      <c r="AM14" s="2" t="s">
        <v>50</v>
      </c>
    </row>
    <row r="15" spans="1:39" x14ac:dyDescent="0.2">
      <c r="A15" s="1">
        <v>0</v>
      </c>
      <c r="B15" s="2">
        <v>2.14</v>
      </c>
      <c r="C15" s="2" t="s">
        <v>51</v>
      </c>
      <c r="D15" s="2" t="s">
        <v>44</v>
      </c>
      <c r="E15" s="2">
        <v>85.101663585951897</v>
      </c>
      <c r="F15" s="2">
        <v>1612</v>
      </c>
      <c r="G15" s="2">
        <v>85.123101100052395</v>
      </c>
      <c r="H15" s="2">
        <v>284</v>
      </c>
      <c r="I15" s="2" t="s">
        <v>88</v>
      </c>
      <c r="J15" s="2">
        <v>14.898336414048099</v>
      </c>
      <c r="K15" s="2" t="s">
        <v>52</v>
      </c>
      <c r="L15" s="2">
        <v>85.101663585951897</v>
      </c>
      <c r="M15" s="2" t="s">
        <v>52</v>
      </c>
      <c r="N15" s="2">
        <v>50</v>
      </c>
      <c r="O15" s="2">
        <v>85.101663585951897</v>
      </c>
      <c r="P15" s="2">
        <v>85.101663585951897</v>
      </c>
      <c r="Q15" s="2">
        <v>45.975634112242901</v>
      </c>
      <c r="R15" s="2">
        <v>85.101663585951897</v>
      </c>
      <c r="S15" s="2">
        <v>78.252058947418206</v>
      </c>
      <c r="T15" s="2">
        <v>14.8768988999476</v>
      </c>
      <c r="U15" s="2" t="s">
        <v>52</v>
      </c>
      <c r="V15" s="2">
        <v>85.123101100052395</v>
      </c>
      <c r="W15" s="2" t="s">
        <v>52</v>
      </c>
      <c r="X15" s="2">
        <v>50</v>
      </c>
      <c r="Y15" s="2">
        <v>85.123101100052395</v>
      </c>
      <c r="Z15" s="2">
        <v>85.123101100052395</v>
      </c>
      <c r="AA15" s="2">
        <v>45.9818902093945</v>
      </c>
      <c r="AB15" s="2">
        <v>85.123101100052395</v>
      </c>
      <c r="AC15" s="2">
        <v>78.282421781315904</v>
      </c>
      <c r="AD15" s="2">
        <v>9387.0564464005092</v>
      </c>
      <c r="AE15" s="2">
        <v>36.533296</v>
      </c>
      <c r="AF15" s="2">
        <v>451799</v>
      </c>
      <c r="AG15" s="2">
        <v>449810</v>
      </c>
      <c r="AH15" s="2" t="s">
        <v>57</v>
      </c>
      <c r="AI15" s="3">
        <v>46305</v>
      </c>
      <c r="AJ15" s="2" t="s">
        <v>47</v>
      </c>
      <c r="AK15" s="2" t="s">
        <v>48</v>
      </c>
      <c r="AL15" s="2" t="s">
        <v>49</v>
      </c>
      <c r="AM15" s="2" t="s">
        <v>50</v>
      </c>
    </row>
    <row r="16" spans="1:39" x14ac:dyDescent="0.2">
      <c r="A16" s="1">
        <v>0</v>
      </c>
      <c r="B16" s="2">
        <v>2.15</v>
      </c>
      <c r="C16" s="2" t="s">
        <v>58</v>
      </c>
      <c r="D16" s="2" t="s">
        <v>44</v>
      </c>
      <c r="E16" s="2">
        <v>85.970425138632194</v>
      </c>
      <c r="F16" s="2">
        <v>1518</v>
      </c>
      <c r="G16" s="2">
        <v>86.851754845468804</v>
      </c>
      <c r="H16" s="2">
        <v>251</v>
      </c>
      <c r="I16" s="2" t="s">
        <v>89</v>
      </c>
      <c r="J16" s="2">
        <v>14.0295748613678</v>
      </c>
      <c r="K16" s="2">
        <v>74.940273338253107</v>
      </c>
      <c r="L16" s="2">
        <v>85.970425138632194</v>
      </c>
      <c r="M16" s="2">
        <v>83.232537102671103</v>
      </c>
      <c r="N16" s="2">
        <v>56.293157530510697</v>
      </c>
      <c r="O16" s="2">
        <v>85.970425138632194</v>
      </c>
      <c r="P16" s="2">
        <v>85.970425138632194</v>
      </c>
      <c r="Q16" s="2">
        <v>57.613413195904997</v>
      </c>
      <c r="R16" s="2">
        <v>85.970425138632194</v>
      </c>
      <c r="S16" s="2">
        <v>81.952380734544107</v>
      </c>
      <c r="T16" s="2">
        <v>13.1482451545312</v>
      </c>
      <c r="U16" s="2">
        <v>79.213529777962194</v>
      </c>
      <c r="V16" s="2">
        <v>86.851754845468804</v>
      </c>
      <c r="W16" s="2">
        <v>85.063249832517499</v>
      </c>
      <c r="X16" s="2">
        <v>59.151462621885202</v>
      </c>
      <c r="Y16" s="2">
        <v>86.851754845468804</v>
      </c>
      <c r="Z16" s="2">
        <v>86.851754845468804</v>
      </c>
      <c r="AA16" s="2">
        <v>61.794580457914201</v>
      </c>
      <c r="AB16" s="2">
        <v>86.851754845468804</v>
      </c>
      <c r="AC16" s="2">
        <v>83.529167038580894</v>
      </c>
      <c r="AD16" s="2">
        <v>30268.2742607771</v>
      </c>
      <c r="AE16" s="2">
        <v>13.149196</v>
      </c>
      <c r="AF16" s="2">
        <v>309556</v>
      </c>
      <c r="AG16" s="2">
        <v>126761</v>
      </c>
      <c r="AH16" s="2" t="s">
        <v>59</v>
      </c>
      <c r="AI16" s="3">
        <v>46305</v>
      </c>
      <c r="AJ16" s="2" t="s">
        <v>47</v>
      </c>
      <c r="AK16" s="2" t="s">
        <v>48</v>
      </c>
      <c r="AL16" s="2" t="s">
        <v>49</v>
      </c>
      <c r="AM16" s="2" t="s">
        <v>50</v>
      </c>
    </row>
    <row r="17" spans="1:39" x14ac:dyDescent="0.2">
      <c r="A17" s="1">
        <v>0</v>
      </c>
      <c r="B17" s="2">
        <v>2.16</v>
      </c>
      <c r="C17" s="2" t="s">
        <v>58</v>
      </c>
      <c r="D17" s="2" t="s">
        <v>44</v>
      </c>
      <c r="E17" s="2">
        <v>85.591497227356797</v>
      </c>
      <c r="F17" s="2">
        <v>1559</v>
      </c>
      <c r="G17" s="2">
        <v>86.118386589837598</v>
      </c>
      <c r="H17" s="2">
        <v>265</v>
      </c>
      <c r="I17" s="2" t="s">
        <v>90</v>
      </c>
      <c r="J17" s="2">
        <v>14.4085027726432</v>
      </c>
      <c r="K17" s="2">
        <v>70.956691022597795</v>
      </c>
      <c r="L17" s="2">
        <v>85.591497227356797</v>
      </c>
      <c r="M17" s="2">
        <v>82.466940342472398</v>
      </c>
      <c r="N17" s="2">
        <v>58.398970147870102</v>
      </c>
      <c r="O17" s="2">
        <v>85.591497227356797</v>
      </c>
      <c r="P17" s="2">
        <v>85.591497227356697</v>
      </c>
      <c r="Q17" s="2">
        <v>60.446754025597599</v>
      </c>
      <c r="R17" s="2">
        <v>85.591497227356797</v>
      </c>
      <c r="S17" s="2">
        <v>82.586486187480304</v>
      </c>
      <c r="T17" s="2">
        <v>13.8816134101624</v>
      </c>
      <c r="U17" s="2">
        <v>73.370816175694202</v>
      </c>
      <c r="V17" s="2">
        <v>86.118386589837598</v>
      </c>
      <c r="W17" s="2">
        <v>83.4323181918015</v>
      </c>
      <c r="X17" s="2">
        <v>59.592416034669597</v>
      </c>
      <c r="Y17" s="2">
        <v>86.118386589837598</v>
      </c>
      <c r="Z17" s="2">
        <v>86.118386589837598</v>
      </c>
      <c r="AA17" s="2">
        <v>62.074203021109099</v>
      </c>
      <c r="AB17" s="2">
        <v>86.118386589837598</v>
      </c>
      <c r="AC17" s="2">
        <v>83.286867603783406</v>
      </c>
      <c r="AD17" s="2">
        <v>21777.766148656399</v>
      </c>
      <c r="AE17" s="2">
        <v>29.026976999999999</v>
      </c>
      <c r="AF17" s="2">
        <v>6773880</v>
      </c>
      <c r="AG17" s="2">
        <v>4895789</v>
      </c>
      <c r="AH17" s="2" t="s">
        <v>60</v>
      </c>
      <c r="AI17" s="3">
        <v>46305</v>
      </c>
      <c r="AJ17" s="2" t="s">
        <v>47</v>
      </c>
      <c r="AK17" s="2" t="s">
        <v>48</v>
      </c>
      <c r="AL17" s="2" t="s">
        <v>49</v>
      </c>
      <c r="AM17" s="2" t="s">
        <v>50</v>
      </c>
    </row>
    <row r="18" spans="1:39" x14ac:dyDescent="0.2">
      <c r="A18" s="1">
        <v>0</v>
      </c>
      <c r="B18" s="2">
        <v>2.17</v>
      </c>
      <c r="C18" s="2" t="s">
        <v>58</v>
      </c>
      <c r="D18" s="2" t="s">
        <v>44</v>
      </c>
      <c r="E18" s="2">
        <v>71.219963031423305</v>
      </c>
      <c r="F18" s="2">
        <v>3114</v>
      </c>
      <c r="G18" s="2">
        <v>69.931901519120004</v>
      </c>
      <c r="H18" s="2">
        <v>574</v>
      </c>
      <c r="I18" s="2" t="s">
        <v>91</v>
      </c>
      <c r="J18" s="2">
        <v>28.780036968576699</v>
      </c>
      <c r="K18" s="2">
        <v>62.759918307657699</v>
      </c>
      <c r="L18" s="2">
        <v>71.219963031423305</v>
      </c>
      <c r="M18" s="2">
        <v>85.011476383046698</v>
      </c>
      <c r="N18" s="2">
        <v>73.367613230915794</v>
      </c>
      <c r="O18" s="2">
        <v>71.219963031423305</v>
      </c>
      <c r="P18" s="2">
        <v>71.219963031423305</v>
      </c>
      <c r="Q18" s="2">
        <v>62.393082488398001</v>
      </c>
      <c r="R18" s="2">
        <v>71.219963031423305</v>
      </c>
      <c r="S18" s="2">
        <v>75.183808281000097</v>
      </c>
      <c r="T18" s="2">
        <v>30.06809848088</v>
      </c>
      <c r="U18" s="2">
        <v>61.3101251895826</v>
      </c>
      <c r="V18" s="2">
        <v>69.931901519120004</v>
      </c>
      <c r="W18" s="2">
        <v>83.847751033460995</v>
      </c>
      <c r="X18" s="2">
        <v>70.715492957746505</v>
      </c>
      <c r="Y18" s="2">
        <v>69.931901519120004</v>
      </c>
      <c r="Z18" s="2">
        <v>69.931901519120004</v>
      </c>
      <c r="AA18" s="2">
        <v>60.654043588542997</v>
      </c>
      <c r="AB18" s="2">
        <v>69.931901519120004</v>
      </c>
      <c r="AC18" s="2">
        <v>74.0754108861737</v>
      </c>
      <c r="AD18" s="2">
        <v>47310.8876257105</v>
      </c>
      <c r="AE18" s="2">
        <v>9.5760799999999993</v>
      </c>
      <c r="AF18" s="2">
        <v>294568</v>
      </c>
      <c r="AG18" s="2">
        <v>113549</v>
      </c>
      <c r="AH18" s="2" t="s">
        <v>61</v>
      </c>
      <c r="AI18" s="3">
        <v>46305</v>
      </c>
      <c r="AJ18" s="2" t="s">
        <v>47</v>
      </c>
      <c r="AK18" s="2" t="s">
        <v>48</v>
      </c>
      <c r="AL18" s="2" t="s">
        <v>49</v>
      </c>
      <c r="AM18" s="2" t="s">
        <v>50</v>
      </c>
    </row>
    <row r="19" spans="1:39" x14ac:dyDescent="0.2">
      <c r="A19" s="1">
        <v>0</v>
      </c>
      <c r="B19" s="2">
        <v>2.1800000000000002</v>
      </c>
      <c r="C19" s="2" t="s">
        <v>62</v>
      </c>
      <c r="D19" s="2" t="s">
        <v>44</v>
      </c>
      <c r="E19" s="2">
        <v>85.646950092421406</v>
      </c>
      <c r="F19" s="2">
        <v>1553</v>
      </c>
      <c r="G19" s="2">
        <v>86.327920377160794</v>
      </c>
      <c r="H19" s="2">
        <v>261</v>
      </c>
      <c r="I19" s="2" t="s">
        <v>92</v>
      </c>
      <c r="J19" s="2">
        <v>14.353049907578599</v>
      </c>
      <c r="K19" s="2">
        <v>71.843199761303893</v>
      </c>
      <c r="L19" s="2">
        <v>85.646950092421406</v>
      </c>
      <c r="M19" s="2">
        <v>82.372752634889807</v>
      </c>
      <c r="N19" s="2">
        <v>56.589264271223897</v>
      </c>
      <c r="O19" s="2">
        <v>85.646950092421406</v>
      </c>
      <c r="P19" s="2">
        <v>85.646950092421406</v>
      </c>
      <c r="Q19" s="2">
        <v>58.029827205163997</v>
      </c>
      <c r="R19" s="2">
        <v>85.646950092421406</v>
      </c>
      <c r="S19" s="2">
        <v>81.930894249895402</v>
      </c>
      <c r="T19" s="2">
        <v>13.672079622839201</v>
      </c>
      <c r="U19" s="2">
        <v>76.259905488913105</v>
      </c>
      <c r="V19" s="2">
        <v>86.327920377160794</v>
      </c>
      <c r="W19" s="2">
        <v>83.935407458862002</v>
      </c>
      <c r="X19" s="2">
        <v>57.826760563380297</v>
      </c>
      <c r="Y19" s="2">
        <v>86.327920377160794</v>
      </c>
      <c r="Z19" s="2">
        <v>86.327920377160794</v>
      </c>
      <c r="AA19" s="2">
        <v>59.876258374061102</v>
      </c>
      <c r="AB19" s="2">
        <v>86.327920377160794</v>
      </c>
      <c r="AC19" s="2">
        <v>82.761212403839593</v>
      </c>
      <c r="AD19" s="2">
        <v>238110.957065205</v>
      </c>
      <c r="AE19" s="2">
        <v>30.366053999999998</v>
      </c>
      <c r="AF19" s="2">
        <v>8084</v>
      </c>
      <c r="AG19" s="2">
        <v>5630</v>
      </c>
      <c r="AH19" s="2" t="s">
        <v>63</v>
      </c>
      <c r="AI19" s="3">
        <v>46305</v>
      </c>
      <c r="AJ19" s="2" t="s">
        <v>47</v>
      </c>
      <c r="AK19" s="2" t="s">
        <v>48</v>
      </c>
      <c r="AL19" s="2" t="s">
        <v>49</v>
      </c>
      <c r="AM19" s="2" t="s">
        <v>50</v>
      </c>
    </row>
    <row r="20" spans="1:39" x14ac:dyDescent="0.2">
      <c r="A20" s="1">
        <v>0</v>
      </c>
      <c r="B20" s="2">
        <v>2.19</v>
      </c>
      <c r="C20" s="2" t="s">
        <v>62</v>
      </c>
      <c r="D20" s="2" t="s">
        <v>44</v>
      </c>
      <c r="E20" s="2">
        <v>84.593345656192199</v>
      </c>
      <c r="F20" s="2">
        <v>1667</v>
      </c>
      <c r="G20" s="2">
        <v>85.437401781037195</v>
      </c>
      <c r="H20" s="2">
        <v>278</v>
      </c>
      <c r="I20" s="2" t="s">
        <v>93</v>
      </c>
      <c r="J20" s="2">
        <v>15.4066543438078</v>
      </c>
      <c r="K20" s="2">
        <v>66.516755438322306</v>
      </c>
      <c r="L20" s="2">
        <v>84.593345656192199</v>
      </c>
      <c r="M20" s="2">
        <v>80.997854288242095</v>
      </c>
      <c r="N20" s="2">
        <v>57.556650490564898</v>
      </c>
      <c r="O20" s="2">
        <v>84.593345656192199</v>
      </c>
      <c r="P20" s="2">
        <v>84.593345656192199</v>
      </c>
      <c r="Q20" s="2">
        <v>59.153518220383702</v>
      </c>
      <c r="R20" s="2">
        <v>84.593345656192199</v>
      </c>
      <c r="S20" s="2">
        <v>81.783911615676104</v>
      </c>
      <c r="T20" s="2">
        <v>14.562598218962799</v>
      </c>
      <c r="U20" s="2">
        <v>70.149463689115507</v>
      </c>
      <c r="V20" s="2">
        <v>85.437401781037195</v>
      </c>
      <c r="W20" s="2">
        <v>82.061796624192198</v>
      </c>
      <c r="X20" s="2">
        <v>57.448970747562299</v>
      </c>
      <c r="Y20" s="2">
        <v>85.437401781037195</v>
      </c>
      <c r="Z20" s="2">
        <v>85.437401781037195</v>
      </c>
      <c r="AA20" s="2">
        <v>59.186815553094597</v>
      </c>
      <c r="AB20" s="2">
        <v>85.437401781037195</v>
      </c>
      <c r="AC20" s="2">
        <v>82.179654306635399</v>
      </c>
      <c r="AD20" s="2">
        <v>209126.57763002801</v>
      </c>
      <c r="AE20" s="2">
        <v>43.123094999999999</v>
      </c>
      <c r="AF20" s="2">
        <v>10004</v>
      </c>
      <c r="AG20" s="2">
        <v>7550</v>
      </c>
      <c r="AH20" s="2" t="s">
        <v>64</v>
      </c>
      <c r="AI20" s="3">
        <v>46305</v>
      </c>
      <c r="AJ20" s="2" t="s">
        <v>47</v>
      </c>
      <c r="AK20" s="2" t="s">
        <v>48</v>
      </c>
      <c r="AL20" s="2" t="s">
        <v>49</v>
      </c>
      <c r="AM20" s="2" t="s">
        <v>50</v>
      </c>
    </row>
    <row r="21" spans="1:39" x14ac:dyDescent="0.2">
      <c r="A21" s="1">
        <v>0</v>
      </c>
      <c r="B21" s="2">
        <v>2.2000000000000002</v>
      </c>
      <c r="C21" s="2" t="s">
        <v>45</v>
      </c>
      <c r="D21" s="2" t="s">
        <v>44</v>
      </c>
      <c r="E21" s="2">
        <v>85.656192236598898</v>
      </c>
      <c r="F21" s="2">
        <v>1552</v>
      </c>
      <c r="G21" s="2">
        <v>86.118386589837598</v>
      </c>
      <c r="H21" s="2">
        <v>265</v>
      </c>
      <c r="I21" s="2" t="s">
        <v>94</v>
      </c>
      <c r="J21" s="2">
        <v>14.343807763401101</v>
      </c>
      <c r="K21" s="2">
        <v>71.801743016913704</v>
      </c>
      <c r="L21" s="2">
        <v>85.656192236598898</v>
      </c>
      <c r="M21" s="2">
        <v>82.406176337422394</v>
      </c>
      <c r="N21" s="2">
        <v>56.824980112233803</v>
      </c>
      <c r="O21" s="2">
        <v>85.656192236598898</v>
      </c>
      <c r="P21" s="2">
        <v>85.656192236598898</v>
      </c>
      <c r="Q21" s="2">
        <v>58.366869303926102</v>
      </c>
      <c r="R21" s="2">
        <v>85.656192236598898</v>
      </c>
      <c r="S21" s="2">
        <v>82.030076723627303</v>
      </c>
      <c r="T21" s="2">
        <v>13.8816134101624</v>
      </c>
      <c r="U21" s="2">
        <v>74.463759894102694</v>
      </c>
      <c r="V21" s="2">
        <v>86.118386589837598</v>
      </c>
      <c r="W21" s="2">
        <v>83.409870025173404</v>
      </c>
      <c r="X21" s="2">
        <v>57.848970747562298</v>
      </c>
      <c r="Y21" s="2">
        <v>86.118386589837598</v>
      </c>
      <c r="Z21" s="2">
        <v>86.118386589837598</v>
      </c>
      <c r="AA21" s="2">
        <v>59.861387159864996</v>
      </c>
      <c r="AB21" s="2">
        <v>86.118386589837598</v>
      </c>
      <c r="AC21" s="2">
        <v>82.6662033746275</v>
      </c>
      <c r="AD21" s="2">
        <v>800059.15409642097</v>
      </c>
      <c r="AE21" s="2">
        <v>0.73102299999999998</v>
      </c>
      <c r="AF21" s="2">
        <v>9855</v>
      </c>
      <c r="AG21" s="2">
        <v>4998</v>
      </c>
      <c r="AH21" s="2" t="s">
        <v>65</v>
      </c>
      <c r="AI21" s="3">
        <v>46305</v>
      </c>
      <c r="AJ21" s="2" t="s">
        <v>47</v>
      </c>
      <c r="AK21" s="2" t="s">
        <v>48</v>
      </c>
      <c r="AL21" s="2" t="s">
        <v>49</v>
      </c>
      <c r="AM21" s="2" t="s">
        <v>50</v>
      </c>
    </row>
    <row r="22" spans="1:39" x14ac:dyDescent="0.2">
      <c r="A22" s="1">
        <v>0</v>
      </c>
      <c r="B22" s="2">
        <v>2.2000000000000002</v>
      </c>
      <c r="C22" s="2" t="s">
        <v>62</v>
      </c>
      <c r="D22" s="2" t="s">
        <v>44</v>
      </c>
      <c r="E22" s="2">
        <v>79.242144177449205</v>
      </c>
      <c r="F22" s="2">
        <v>2246</v>
      </c>
      <c r="G22" s="2">
        <v>80.9324253535883</v>
      </c>
      <c r="H22" s="2">
        <v>364</v>
      </c>
      <c r="I22" s="2" t="s">
        <v>95</v>
      </c>
      <c r="J22" s="2">
        <v>20.757855822550798</v>
      </c>
      <c r="K22" s="2">
        <v>58.1263045137784</v>
      </c>
      <c r="L22" s="2">
        <v>79.242144177449205</v>
      </c>
      <c r="M22" s="2">
        <v>78.647788403906702</v>
      </c>
      <c r="N22" s="2">
        <v>57.662233509323002</v>
      </c>
      <c r="O22" s="2">
        <v>79.242144177449205</v>
      </c>
      <c r="P22" s="2">
        <v>79.242144177449205</v>
      </c>
      <c r="Q22" s="2">
        <v>57.875307393154202</v>
      </c>
      <c r="R22" s="2">
        <v>79.242144177449205</v>
      </c>
      <c r="S22" s="2">
        <v>78.937141316526194</v>
      </c>
      <c r="T22" s="2">
        <v>19.0675746464117</v>
      </c>
      <c r="U22" s="2">
        <v>60.177759957230698</v>
      </c>
      <c r="V22" s="2">
        <v>80.9324253535883</v>
      </c>
      <c r="W22" s="2">
        <v>79.438663968660094</v>
      </c>
      <c r="X22" s="2">
        <v>58.580281690140801</v>
      </c>
      <c r="Y22" s="2">
        <v>80.9324253535883</v>
      </c>
      <c r="Z22" s="2">
        <v>80.9324253535883</v>
      </c>
      <c r="AA22" s="2">
        <v>59.216871146920603</v>
      </c>
      <c r="AB22" s="2">
        <v>80.9324253535883</v>
      </c>
      <c r="AC22" s="2">
        <v>80.121794471501602</v>
      </c>
      <c r="AD22" s="2">
        <v>512844.81941416202</v>
      </c>
      <c r="AE22" s="2">
        <v>94.005886000000004</v>
      </c>
      <c r="AF22" s="2">
        <v>19604</v>
      </c>
      <c r="AG22" s="2">
        <v>17150</v>
      </c>
      <c r="AH22" s="2" t="s">
        <v>66</v>
      </c>
      <c r="AI22" s="3">
        <v>46305</v>
      </c>
      <c r="AJ22" s="2" t="s">
        <v>47</v>
      </c>
      <c r="AK22" s="2" t="s">
        <v>48</v>
      </c>
      <c r="AL22" s="2" t="s">
        <v>49</v>
      </c>
      <c r="AM22" s="2" t="s">
        <v>50</v>
      </c>
    </row>
    <row r="23" spans="1:39" x14ac:dyDescent="0.2">
      <c r="A23" s="1">
        <v>0</v>
      </c>
      <c r="B23" s="2">
        <v>2.21</v>
      </c>
      <c r="C23" s="2" t="s">
        <v>62</v>
      </c>
      <c r="D23" s="2" t="s">
        <v>44</v>
      </c>
      <c r="E23" s="2">
        <v>84.824399260628496</v>
      </c>
      <c r="F23" s="2">
        <v>1642</v>
      </c>
      <c r="G23" s="2">
        <v>85.5421686746988</v>
      </c>
      <c r="H23" s="2">
        <v>276</v>
      </c>
      <c r="I23" s="2" t="s">
        <v>96</v>
      </c>
      <c r="J23" s="2">
        <v>15.1756007393715</v>
      </c>
      <c r="K23" s="2">
        <v>67.036924531571202</v>
      </c>
      <c r="L23" s="2">
        <v>84.824399260628496</v>
      </c>
      <c r="M23" s="2">
        <v>80.926075234893503</v>
      </c>
      <c r="N23" s="2">
        <v>56.438623874374002</v>
      </c>
      <c r="O23" s="2">
        <v>84.824399260628496</v>
      </c>
      <c r="P23" s="2">
        <v>84.824399260628496</v>
      </c>
      <c r="Q23" s="2">
        <v>57.741367973612</v>
      </c>
      <c r="R23" s="2">
        <v>84.824399260628496</v>
      </c>
      <c r="S23" s="2">
        <v>81.491391715955203</v>
      </c>
      <c r="T23" s="2">
        <v>14.4578313253012</v>
      </c>
      <c r="U23" s="2">
        <v>71.485145921022706</v>
      </c>
      <c r="V23" s="2">
        <v>85.5421686746988</v>
      </c>
      <c r="W23" s="2">
        <v>82.045631922523896</v>
      </c>
      <c r="X23" s="2">
        <v>55.331202600216699</v>
      </c>
      <c r="Y23" s="2">
        <v>85.5421686746988</v>
      </c>
      <c r="Z23" s="2">
        <v>85.5421686746988</v>
      </c>
      <c r="AA23" s="2">
        <v>56.140952558536</v>
      </c>
      <c r="AB23" s="2">
        <v>85.5421686746988</v>
      </c>
      <c r="AC23" s="2">
        <v>81.366180205224595</v>
      </c>
      <c r="AD23" s="2">
        <v>116840.34339398499</v>
      </c>
      <c r="AE23" s="2">
        <v>40.372059999999998</v>
      </c>
      <c r="AF23" s="2">
        <v>9856</v>
      </c>
      <c r="AG23" s="2">
        <v>6878</v>
      </c>
      <c r="AH23" s="2" t="s">
        <v>67</v>
      </c>
      <c r="AI23" s="3">
        <v>46305</v>
      </c>
      <c r="AJ23" s="2" t="s">
        <v>47</v>
      </c>
      <c r="AK23" s="2" t="s">
        <v>48</v>
      </c>
      <c r="AL23" s="2" t="s">
        <v>49</v>
      </c>
      <c r="AM23" s="2" t="s">
        <v>50</v>
      </c>
    </row>
    <row r="24" spans="1:39" x14ac:dyDescent="0.2">
      <c r="A24" s="1">
        <v>0</v>
      </c>
      <c r="B24" s="2">
        <v>2.2200000000000002</v>
      </c>
      <c r="C24" s="2" t="s">
        <v>62</v>
      </c>
      <c r="D24" s="2" t="s">
        <v>44</v>
      </c>
      <c r="E24" s="2">
        <v>84.833641404805903</v>
      </c>
      <c r="F24" s="2">
        <v>1641</v>
      </c>
      <c r="G24" s="2">
        <v>85.804085908852798</v>
      </c>
      <c r="H24" s="2">
        <v>271</v>
      </c>
      <c r="I24" s="2" t="s">
        <v>97</v>
      </c>
      <c r="J24" s="2">
        <v>15.166358595194099</v>
      </c>
      <c r="K24" s="2">
        <v>67.180131939633299</v>
      </c>
      <c r="L24" s="2">
        <v>84.833641404805903</v>
      </c>
      <c r="M24" s="2">
        <v>81.030168904872994</v>
      </c>
      <c r="N24" s="2">
        <v>56.751101642115103</v>
      </c>
      <c r="O24" s="2">
        <v>84.833641404805903</v>
      </c>
      <c r="P24" s="2">
        <v>84.833641404805903</v>
      </c>
      <c r="Q24" s="2">
        <v>58.163084474937001</v>
      </c>
      <c r="R24" s="2">
        <v>84.833641404805903</v>
      </c>
      <c r="S24" s="2">
        <v>81.613663296477</v>
      </c>
      <c r="T24" s="2">
        <v>14.1959140911472</v>
      </c>
      <c r="U24" s="2">
        <v>71.822066862364807</v>
      </c>
      <c r="V24" s="2">
        <v>85.804085908852798</v>
      </c>
      <c r="W24" s="2">
        <v>82.883947417727896</v>
      </c>
      <c r="X24" s="2">
        <v>59.117226435536303</v>
      </c>
      <c r="Y24" s="2">
        <v>85.804085908852798</v>
      </c>
      <c r="Z24" s="2">
        <v>85.804085908852798</v>
      </c>
      <c r="AA24" s="2">
        <v>61.391373006745702</v>
      </c>
      <c r="AB24" s="2">
        <v>85.804085908852798</v>
      </c>
      <c r="AC24" s="2">
        <v>82.957544285879806</v>
      </c>
      <c r="AD24" s="2">
        <v>433789.03900893999</v>
      </c>
      <c r="AE24" s="2">
        <v>42.699334999999998</v>
      </c>
      <c r="AF24" s="2">
        <v>11628</v>
      </c>
      <c r="AG24" s="2">
        <v>8126</v>
      </c>
      <c r="AH24" s="2" t="s">
        <v>68</v>
      </c>
      <c r="AI24" s="3">
        <v>46305</v>
      </c>
      <c r="AJ24" s="2" t="s">
        <v>47</v>
      </c>
      <c r="AK24" s="2" t="s">
        <v>48</v>
      </c>
      <c r="AL24" s="2" t="s">
        <v>49</v>
      </c>
      <c r="AM24" s="2" t="s">
        <v>50</v>
      </c>
    </row>
    <row r="25" spans="1:39" x14ac:dyDescent="0.2">
      <c r="A25" s="1">
        <v>0</v>
      </c>
      <c r="B25" s="2">
        <v>2.23</v>
      </c>
      <c r="C25" s="2" t="s">
        <v>69</v>
      </c>
      <c r="D25" s="2" t="s">
        <v>44</v>
      </c>
      <c r="E25" s="2">
        <v>85.101663585951897</v>
      </c>
      <c r="F25" s="2">
        <v>1612</v>
      </c>
      <c r="G25" s="2">
        <v>85.123101100052395</v>
      </c>
      <c r="H25" s="2">
        <v>284</v>
      </c>
      <c r="I25" s="2" t="s">
        <v>98</v>
      </c>
      <c r="J25" s="2">
        <v>14.898336414048099</v>
      </c>
      <c r="K25" s="2" t="s">
        <v>52</v>
      </c>
      <c r="L25" s="2">
        <v>85.101663585951897</v>
      </c>
      <c r="M25" s="2" t="s">
        <v>52</v>
      </c>
      <c r="N25" s="2">
        <v>50</v>
      </c>
      <c r="O25" s="2">
        <v>85.101663585951897</v>
      </c>
      <c r="P25" s="2">
        <v>85.101663585951897</v>
      </c>
      <c r="Q25" s="2">
        <v>45.975634112242901</v>
      </c>
      <c r="R25" s="2">
        <v>85.101663585951897</v>
      </c>
      <c r="S25" s="2">
        <v>78.252058947418206</v>
      </c>
      <c r="T25" s="2">
        <v>14.8768988999476</v>
      </c>
      <c r="U25" s="2" t="s">
        <v>52</v>
      </c>
      <c r="V25" s="2">
        <v>85.123101100052395</v>
      </c>
      <c r="W25" s="2" t="s">
        <v>52</v>
      </c>
      <c r="X25" s="2">
        <v>50</v>
      </c>
      <c r="Y25" s="2">
        <v>85.123101100052395</v>
      </c>
      <c r="Z25" s="2">
        <v>85.123101100052395</v>
      </c>
      <c r="AA25" s="2">
        <v>45.9818902093945</v>
      </c>
      <c r="AB25" s="2">
        <v>85.123101100052395</v>
      </c>
      <c r="AC25" s="2">
        <v>78.282421781315904</v>
      </c>
      <c r="AD25" s="2">
        <v>31826.899318751399</v>
      </c>
      <c r="AE25" s="2">
        <v>36.753915999999997</v>
      </c>
      <c r="AF25" s="2">
        <v>13438</v>
      </c>
      <c r="AG25" s="2">
        <v>14120</v>
      </c>
      <c r="AH25" s="2" t="s">
        <v>70</v>
      </c>
      <c r="AI25" s="3">
        <v>46305</v>
      </c>
      <c r="AJ25" s="2" t="s">
        <v>47</v>
      </c>
      <c r="AK25" s="2" t="s">
        <v>48</v>
      </c>
      <c r="AL25" s="2" t="s">
        <v>49</v>
      </c>
      <c r="AM25" s="2" t="s">
        <v>50</v>
      </c>
    </row>
    <row r="26" spans="1:39" x14ac:dyDescent="0.2">
      <c r="A26" s="1">
        <v>0</v>
      </c>
      <c r="B26" s="2">
        <v>2.2400000000000002</v>
      </c>
      <c r="C26" s="2" t="s">
        <v>69</v>
      </c>
      <c r="D26" s="2" t="s">
        <v>44</v>
      </c>
      <c r="E26" s="2">
        <v>85.027726432532305</v>
      </c>
      <c r="F26" s="2">
        <v>1620</v>
      </c>
      <c r="G26" s="2">
        <v>84.599266631744399</v>
      </c>
      <c r="H26" s="2">
        <v>294</v>
      </c>
      <c r="I26" s="2" t="s">
        <v>99</v>
      </c>
      <c r="J26" s="2">
        <v>14.972273567467701</v>
      </c>
      <c r="K26" s="2">
        <v>65.095551131671002</v>
      </c>
      <c r="L26" s="2">
        <v>85.027726432532305</v>
      </c>
      <c r="M26" s="2">
        <v>79.293300905240301</v>
      </c>
      <c r="N26" s="2">
        <v>50.8521153253294</v>
      </c>
      <c r="O26" s="2">
        <v>85.027726432532305</v>
      </c>
      <c r="P26" s="2">
        <v>85.027726432532305</v>
      </c>
      <c r="Q26" s="2">
        <v>48.010855541219897</v>
      </c>
      <c r="R26" s="2">
        <v>85.027726432532305</v>
      </c>
      <c r="S26" s="2">
        <v>78.808243415306407</v>
      </c>
      <c r="T26" s="2">
        <v>15.400733368255599</v>
      </c>
      <c r="U26" s="2">
        <v>51.952918647649199</v>
      </c>
      <c r="V26" s="2">
        <v>84.599266631744399</v>
      </c>
      <c r="W26" s="2">
        <v>75.276708017213195</v>
      </c>
      <c r="X26" s="2">
        <v>50.128169014084499</v>
      </c>
      <c r="Y26" s="2">
        <v>84.599266631744399</v>
      </c>
      <c r="Z26" s="2">
        <v>84.599266631744399</v>
      </c>
      <c r="AA26" s="2">
        <v>46.821489482660603</v>
      </c>
      <c r="AB26" s="2">
        <v>84.599266631744399</v>
      </c>
      <c r="AC26" s="2">
        <v>78.306883613749093</v>
      </c>
      <c r="AD26" s="2">
        <v>62229.686205944599</v>
      </c>
      <c r="AE26" s="2">
        <v>32.651166000000003</v>
      </c>
      <c r="AF26" s="2">
        <v>13480</v>
      </c>
      <c r="AG26" s="2">
        <v>14120</v>
      </c>
      <c r="AH26" s="2" t="s">
        <v>71</v>
      </c>
      <c r="AI26" s="3">
        <v>46305</v>
      </c>
      <c r="AJ26" s="2" t="s">
        <v>47</v>
      </c>
      <c r="AK26" s="2" t="s">
        <v>48</v>
      </c>
      <c r="AL26" s="2" t="s">
        <v>49</v>
      </c>
      <c r="AM26" s="2" t="s">
        <v>50</v>
      </c>
    </row>
    <row r="27" spans="1:39" x14ac:dyDescent="0.2">
      <c r="A27" s="1">
        <v>0</v>
      </c>
      <c r="B27" s="2">
        <v>2.2999999999999998</v>
      </c>
      <c r="C27" s="2" t="s">
        <v>45</v>
      </c>
      <c r="D27" s="2" t="s">
        <v>44</v>
      </c>
      <c r="E27" s="2">
        <v>85.166358595194097</v>
      </c>
      <c r="F27" s="2">
        <v>1605</v>
      </c>
      <c r="G27" s="2">
        <v>85.123101100052395</v>
      </c>
      <c r="H27" s="2">
        <v>284</v>
      </c>
      <c r="I27" s="2" t="s">
        <v>100</v>
      </c>
      <c r="J27" s="2">
        <v>14.833641404805901</v>
      </c>
      <c r="K27" s="2">
        <v>68.671997819432306</v>
      </c>
      <c r="L27" s="2">
        <v>85.166358595194097</v>
      </c>
      <c r="M27" s="2">
        <v>81.148712064870097</v>
      </c>
      <c r="N27" s="2">
        <v>55.1042975899692</v>
      </c>
      <c r="O27" s="2">
        <v>85.166358595194097</v>
      </c>
      <c r="P27" s="2">
        <v>85.166358595194097</v>
      </c>
      <c r="Q27" s="2">
        <v>55.808795536037202</v>
      </c>
      <c r="R27" s="2">
        <v>85.166358595194097</v>
      </c>
      <c r="S27" s="2">
        <v>81.095114732925197</v>
      </c>
      <c r="T27" s="2">
        <v>14.8768988999476</v>
      </c>
      <c r="U27" s="2" t="s">
        <v>52</v>
      </c>
      <c r="V27" s="2">
        <v>85.123101100052395</v>
      </c>
      <c r="W27" s="2" t="s">
        <v>52</v>
      </c>
      <c r="X27" s="2">
        <v>50</v>
      </c>
      <c r="Y27" s="2">
        <v>85.123101100052395</v>
      </c>
      <c r="Z27" s="2">
        <v>85.123101100052395</v>
      </c>
      <c r="AA27" s="2">
        <v>45.9818902093945</v>
      </c>
      <c r="AB27" s="2">
        <v>85.123101100052395</v>
      </c>
      <c r="AC27" s="2">
        <v>78.282421781315904</v>
      </c>
      <c r="AD27" s="2">
        <v>755956.12380353501</v>
      </c>
      <c r="AE27" s="2">
        <v>1.4101220000000001</v>
      </c>
      <c r="AF27" s="2">
        <v>5063</v>
      </c>
      <c r="AG27" s="2">
        <v>3374</v>
      </c>
      <c r="AH27" s="2" t="s">
        <v>72</v>
      </c>
      <c r="AI27" s="3">
        <v>46305</v>
      </c>
      <c r="AJ27" s="2" t="s">
        <v>47</v>
      </c>
      <c r="AK27" s="2" t="s">
        <v>48</v>
      </c>
      <c r="AL27" s="2" t="s">
        <v>49</v>
      </c>
      <c r="AM27" s="2" t="s">
        <v>50</v>
      </c>
    </row>
    <row r="28" spans="1:39" x14ac:dyDescent="0.2">
      <c r="A28" s="1">
        <v>0</v>
      </c>
      <c r="B28" s="2">
        <v>2.4</v>
      </c>
      <c r="C28" s="2" t="s">
        <v>73</v>
      </c>
      <c r="D28" s="2" t="s">
        <v>44</v>
      </c>
      <c r="E28" s="2">
        <v>85.646950092421406</v>
      </c>
      <c r="F28" s="2">
        <v>1553</v>
      </c>
      <c r="G28" s="2">
        <v>86.013619696175994</v>
      </c>
      <c r="H28" s="2">
        <v>267</v>
      </c>
      <c r="I28" s="2" t="s">
        <v>73</v>
      </c>
      <c r="J28" s="2">
        <v>14.353049907578599</v>
      </c>
      <c r="K28" s="2">
        <v>72.138528644225701</v>
      </c>
      <c r="L28" s="2">
        <v>85.646950092421406</v>
      </c>
      <c r="M28" s="2">
        <v>82.356609636109297</v>
      </c>
      <c r="N28" s="2">
        <v>56.051930784106197</v>
      </c>
      <c r="O28" s="2">
        <v>85.646950092421406</v>
      </c>
      <c r="P28" s="2">
        <v>85.646950092421406</v>
      </c>
      <c r="Q28" s="2">
        <v>57.240535493748098</v>
      </c>
      <c r="R28" s="2">
        <v>85.646950092421406</v>
      </c>
      <c r="S28" s="2">
        <v>81.707609458088996</v>
      </c>
      <c r="T28" s="2">
        <v>13.986380303823999</v>
      </c>
      <c r="U28" s="2">
        <v>75.787673828199004</v>
      </c>
      <c r="V28" s="2">
        <v>86.013619696175994</v>
      </c>
      <c r="W28" s="2">
        <v>83.427224473857606</v>
      </c>
      <c r="X28" s="2">
        <v>55.8986998916576</v>
      </c>
      <c r="Y28" s="2">
        <v>86.013619696175994</v>
      </c>
      <c r="Z28" s="2">
        <v>86.013619696175994</v>
      </c>
      <c r="AA28" s="2">
        <v>57.010923057848899</v>
      </c>
      <c r="AB28" s="2">
        <v>86.013619696175994</v>
      </c>
      <c r="AC28" s="2">
        <v>81.814887466010006</v>
      </c>
      <c r="AD28" s="2">
        <v>574127.13573172002</v>
      </c>
      <c r="AE28" s="2">
        <v>2.860433</v>
      </c>
      <c r="AF28" s="2">
        <v>2486822</v>
      </c>
      <c r="AG28" s="2">
        <v>6001</v>
      </c>
      <c r="AH28" s="2" t="s">
        <v>47</v>
      </c>
      <c r="AI28" s="3">
        <v>46305</v>
      </c>
      <c r="AJ28" s="2" t="s">
        <v>47</v>
      </c>
      <c r="AK28" s="2" t="s">
        <v>48</v>
      </c>
      <c r="AL28" s="2" t="s">
        <v>49</v>
      </c>
      <c r="AM28" s="2" t="s">
        <v>50</v>
      </c>
    </row>
    <row r="29" spans="1:39" x14ac:dyDescent="0.2">
      <c r="A29" s="1">
        <v>0</v>
      </c>
      <c r="B29" s="2">
        <v>2.5</v>
      </c>
      <c r="C29" s="2" t="s">
        <v>74</v>
      </c>
      <c r="D29" s="2" t="s">
        <v>44</v>
      </c>
      <c r="E29" s="2">
        <v>85.101663585951897</v>
      </c>
      <c r="F29" s="2">
        <v>1612</v>
      </c>
      <c r="G29" s="2">
        <v>85.123101100052395</v>
      </c>
      <c r="H29" s="2">
        <v>284</v>
      </c>
      <c r="I29" s="2" t="s">
        <v>74</v>
      </c>
      <c r="J29" s="2">
        <v>14.898336414048099</v>
      </c>
      <c r="K29" s="2" t="s">
        <v>52</v>
      </c>
      <c r="L29" s="2">
        <v>85.101663585951897</v>
      </c>
      <c r="M29" s="2" t="s">
        <v>52</v>
      </c>
      <c r="N29" s="2">
        <v>50</v>
      </c>
      <c r="O29" s="2">
        <v>85.101663585951897</v>
      </c>
      <c r="P29" s="2">
        <v>85.101663585951897</v>
      </c>
      <c r="Q29" s="2">
        <v>45.975634112242901</v>
      </c>
      <c r="R29" s="2">
        <v>85.101663585951897</v>
      </c>
      <c r="S29" s="2">
        <v>78.252058947418206</v>
      </c>
      <c r="T29" s="2">
        <v>14.8768988999476</v>
      </c>
      <c r="U29" s="2" t="s">
        <v>52</v>
      </c>
      <c r="V29" s="2">
        <v>85.123101100052395</v>
      </c>
      <c r="W29" s="2" t="s">
        <v>52</v>
      </c>
      <c r="X29" s="2">
        <v>50</v>
      </c>
      <c r="Y29" s="2">
        <v>85.123101100052395</v>
      </c>
      <c r="Z29" s="2">
        <v>85.123101100052395</v>
      </c>
      <c r="AA29" s="2">
        <v>45.9818902093945</v>
      </c>
      <c r="AB29" s="2">
        <v>85.123101100052395</v>
      </c>
      <c r="AC29" s="2">
        <v>78.282421781315904</v>
      </c>
      <c r="AD29" s="2">
        <v>701458.67098865495</v>
      </c>
      <c r="AE29" s="2">
        <v>1.0630630000000001</v>
      </c>
      <c r="AF29" s="2">
        <v>11632</v>
      </c>
      <c r="AG29" s="2">
        <v>3496</v>
      </c>
      <c r="AH29" s="2" t="s">
        <v>75</v>
      </c>
      <c r="AI29" s="3">
        <v>46305</v>
      </c>
      <c r="AJ29" s="2" t="s">
        <v>47</v>
      </c>
      <c r="AK29" s="2" t="s">
        <v>48</v>
      </c>
      <c r="AL29" s="2" t="s">
        <v>49</v>
      </c>
      <c r="AM29" s="2" t="s">
        <v>50</v>
      </c>
    </row>
    <row r="30" spans="1:39" x14ac:dyDescent="0.2">
      <c r="A30" s="1">
        <v>0</v>
      </c>
      <c r="B30" s="2">
        <v>2.6</v>
      </c>
      <c r="C30" s="2" t="s">
        <v>76</v>
      </c>
      <c r="D30" s="2" t="s">
        <v>44</v>
      </c>
      <c r="E30" s="2">
        <v>85.101663585951897</v>
      </c>
      <c r="F30" s="2">
        <v>1612</v>
      </c>
      <c r="G30" s="2">
        <v>85.123101100052395</v>
      </c>
      <c r="H30" s="2">
        <v>284</v>
      </c>
      <c r="I30" s="2" t="s">
        <v>76</v>
      </c>
      <c r="J30" s="2">
        <v>14.898336414048099</v>
      </c>
      <c r="K30" s="2" t="s">
        <v>52</v>
      </c>
      <c r="L30" s="2">
        <v>85.101663585951897</v>
      </c>
      <c r="M30" s="2" t="s">
        <v>52</v>
      </c>
      <c r="N30" s="2">
        <v>50</v>
      </c>
      <c r="O30" s="2">
        <v>85.101663585951897</v>
      </c>
      <c r="P30" s="2">
        <v>85.101663585951897</v>
      </c>
      <c r="Q30" s="2">
        <v>45.975634112242901</v>
      </c>
      <c r="R30" s="2">
        <v>85.101663585951897</v>
      </c>
      <c r="S30" s="2">
        <v>78.252058947418206</v>
      </c>
      <c r="T30" s="2">
        <v>14.8768988999476</v>
      </c>
      <c r="U30" s="2" t="s">
        <v>52</v>
      </c>
      <c r="V30" s="2">
        <v>85.123101100052395</v>
      </c>
      <c r="W30" s="2" t="s">
        <v>52</v>
      </c>
      <c r="X30" s="2">
        <v>50</v>
      </c>
      <c r="Y30" s="2">
        <v>85.123101100052395</v>
      </c>
      <c r="Z30" s="2">
        <v>85.123101100052395</v>
      </c>
      <c r="AA30" s="2">
        <v>45.9818902093945</v>
      </c>
      <c r="AB30" s="2">
        <v>85.123101100052395</v>
      </c>
      <c r="AC30" s="2">
        <v>78.282421781315904</v>
      </c>
      <c r="AD30" s="2">
        <v>718173.37050312001</v>
      </c>
      <c r="AE30" s="2">
        <v>0.73260700000000001</v>
      </c>
      <c r="AF30" s="2">
        <v>11590</v>
      </c>
      <c r="AG30" s="2">
        <v>3496</v>
      </c>
      <c r="AH30" s="2" t="s">
        <v>77</v>
      </c>
      <c r="AI30" s="3">
        <v>46305</v>
      </c>
      <c r="AJ30" s="2" t="s">
        <v>47</v>
      </c>
      <c r="AK30" s="2" t="s">
        <v>48</v>
      </c>
      <c r="AL30" s="2" t="s">
        <v>49</v>
      </c>
      <c r="AM30" s="2" t="s">
        <v>50</v>
      </c>
    </row>
    <row r="31" spans="1:39" x14ac:dyDescent="0.2">
      <c r="A31" s="1">
        <v>0</v>
      </c>
      <c r="B31" s="2">
        <v>2.7</v>
      </c>
      <c r="C31" s="2" t="s">
        <v>78</v>
      </c>
      <c r="D31" s="2" t="s">
        <v>44</v>
      </c>
      <c r="E31" s="2">
        <v>83.576709796672802</v>
      </c>
      <c r="F31" s="2">
        <v>1777</v>
      </c>
      <c r="G31" s="2">
        <v>84.284965950759599</v>
      </c>
      <c r="H31" s="2">
        <v>300</v>
      </c>
      <c r="I31" s="2" t="s">
        <v>101</v>
      </c>
      <c r="J31" s="2">
        <v>16.423290203327198</v>
      </c>
      <c r="K31" s="2">
        <v>64.847172511912206</v>
      </c>
      <c r="L31" s="2">
        <v>83.576709796672802</v>
      </c>
      <c r="M31" s="2">
        <v>81.0104950766749</v>
      </c>
      <c r="N31" s="2">
        <v>59.901884325422103</v>
      </c>
      <c r="O31" s="2">
        <v>83.576709796672802</v>
      </c>
      <c r="P31" s="2">
        <v>83.576709796672802</v>
      </c>
      <c r="Q31" s="2">
        <v>61.429080768826502</v>
      </c>
      <c r="R31" s="2">
        <v>83.576709796672802</v>
      </c>
      <c r="S31" s="2">
        <v>81.947850142594106</v>
      </c>
      <c r="T31" s="2">
        <v>15.715034049240399</v>
      </c>
      <c r="U31" s="2">
        <v>66.594951233505498</v>
      </c>
      <c r="V31" s="2">
        <v>84.284965950759599</v>
      </c>
      <c r="W31" s="2">
        <v>81.637633374176204</v>
      </c>
      <c r="X31" s="2">
        <v>60.404225352112697</v>
      </c>
      <c r="Y31" s="2">
        <v>84.284965950759599</v>
      </c>
      <c r="Z31" s="2">
        <v>84.284965950759599</v>
      </c>
      <c r="AA31" s="2">
        <v>62.2129849564529</v>
      </c>
      <c r="AB31" s="2">
        <v>84.284965950759599</v>
      </c>
      <c r="AC31" s="2">
        <v>82.499843430315295</v>
      </c>
      <c r="AD31" s="2">
        <v>519418.17483558197</v>
      </c>
      <c r="AE31" s="2">
        <v>1.078792</v>
      </c>
      <c r="AF31" s="2">
        <v>8976</v>
      </c>
      <c r="AG31" s="2">
        <v>7327</v>
      </c>
      <c r="AH31" s="2" t="s">
        <v>79</v>
      </c>
      <c r="AI31" s="3">
        <v>46305</v>
      </c>
      <c r="AJ31" s="2" t="s">
        <v>47</v>
      </c>
      <c r="AK31" s="2" t="s">
        <v>48</v>
      </c>
      <c r="AL31" s="2" t="s">
        <v>49</v>
      </c>
      <c r="AM31" s="2" t="s">
        <v>50</v>
      </c>
    </row>
    <row r="32" spans="1:39" x14ac:dyDescent="0.2">
      <c r="A32" s="1">
        <v>0</v>
      </c>
      <c r="B32" s="2">
        <v>2.8</v>
      </c>
      <c r="C32" s="2" t="s">
        <v>78</v>
      </c>
      <c r="D32" s="2" t="s">
        <v>44</v>
      </c>
      <c r="E32" s="2">
        <v>83.8724584103512</v>
      </c>
      <c r="F32" s="2">
        <v>1745</v>
      </c>
      <c r="G32" s="2">
        <v>84.389732844421204</v>
      </c>
      <c r="H32" s="2">
        <v>298</v>
      </c>
      <c r="I32" s="2" t="s">
        <v>102</v>
      </c>
      <c r="J32" s="2">
        <v>16.1275415896488</v>
      </c>
      <c r="K32" s="2">
        <v>64.997888938643797</v>
      </c>
      <c r="L32" s="2">
        <v>83.8724584103512</v>
      </c>
      <c r="M32" s="2">
        <v>80.826022048280507</v>
      </c>
      <c r="N32" s="2">
        <v>58.847455443858301</v>
      </c>
      <c r="O32" s="2">
        <v>83.8724584103512</v>
      </c>
      <c r="P32" s="2">
        <v>83.8724584103512</v>
      </c>
      <c r="Q32" s="2">
        <v>60.445155978705202</v>
      </c>
      <c r="R32" s="2">
        <v>83.8724584103512</v>
      </c>
      <c r="S32" s="2">
        <v>81.815852420494906</v>
      </c>
      <c r="T32" s="2">
        <v>15.6102671555788</v>
      </c>
      <c r="U32" s="2">
        <v>66.253533069530803</v>
      </c>
      <c r="V32" s="2">
        <v>84.389732844421204</v>
      </c>
      <c r="W32" s="2">
        <v>81.183332884219595</v>
      </c>
      <c r="X32" s="2">
        <v>58.722318526543901</v>
      </c>
      <c r="Y32" s="2">
        <v>84.389732844421204</v>
      </c>
      <c r="Z32" s="2">
        <v>84.389732844421204</v>
      </c>
      <c r="AA32" s="2">
        <v>60.468390389255198</v>
      </c>
      <c r="AB32" s="2">
        <v>84.389732844421204</v>
      </c>
      <c r="AC32" s="2">
        <v>82.070087515435404</v>
      </c>
      <c r="AD32" s="2">
        <v>1062.70844112654</v>
      </c>
      <c r="AE32" s="2">
        <v>48.834110000000003</v>
      </c>
      <c r="AF32" s="2">
        <v>3155968</v>
      </c>
      <c r="AG32" s="2">
        <v>1565693</v>
      </c>
      <c r="AH32" s="2" t="s">
        <v>80</v>
      </c>
      <c r="AI32" s="3">
        <v>46305</v>
      </c>
      <c r="AJ32" s="2" t="s">
        <v>47</v>
      </c>
      <c r="AK32" s="2" t="s">
        <v>48</v>
      </c>
      <c r="AL32" s="2" t="s">
        <v>49</v>
      </c>
      <c r="AM32" s="2" t="s">
        <v>50</v>
      </c>
    </row>
    <row r="33" spans="1:39" x14ac:dyDescent="0.2">
      <c r="A33" s="1">
        <v>0</v>
      </c>
      <c r="B33" s="2">
        <v>2.9</v>
      </c>
      <c r="C33" s="2" t="s">
        <v>51</v>
      </c>
      <c r="D33" s="2" t="s">
        <v>44</v>
      </c>
      <c r="E33" s="2">
        <v>85.101663585951897</v>
      </c>
      <c r="F33" s="2">
        <v>1612</v>
      </c>
      <c r="G33" s="2">
        <v>85.123101100052395</v>
      </c>
      <c r="H33" s="2">
        <v>284</v>
      </c>
      <c r="I33" s="2" t="s">
        <v>103</v>
      </c>
      <c r="J33" s="2">
        <v>14.898336414048099</v>
      </c>
      <c r="K33" s="2" t="s">
        <v>52</v>
      </c>
      <c r="L33" s="2">
        <v>85.101663585951897</v>
      </c>
      <c r="M33" s="2" t="s">
        <v>52</v>
      </c>
      <c r="N33" s="2">
        <v>50</v>
      </c>
      <c r="O33" s="2">
        <v>85.101663585951897</v>
      </c>
      <c r="P33" s="2">
        <v>85.101663585951897</v>
      </c>
      <c r="Q33" s="2">
        <v>45.975634112242901</v>
      </c>
      <c r="R33" s="2">
        <v>85.101663585951897</v>
      </c>
      <c r="S33" s="2">
        <v>78.252058947418206</v>
      </c>
      <c r="T33" s="2">
        <v>14.8768988999476</v>
      </c>
      <c r="U33" s="2" t="s">
        <v>52</v>
      </c>
      <c r="V33" s="2">
        <v>85.123101100052395</v>
      </c>
      <c r="W33" s="2" t="s">
        <v>52</v>
      </c>
      <c r="X33" s="2">
        <v>50</v>
      </c>
      <c r="Y33" s="2">
        <v>85.123101100052395</v>
      </c>
      <c r="Z33" s="2">
        <v>85.123101100052395</v>
      </c>
      <c r="AA33" s="2">
        <v>45.9818902093945</v>
      </c>
      <c r="AB33" s="2">
        <v>85.123101100052395</v>
      </c>
      <c r="AC33" s="2">
        <v>78.282421781315904</v>
      </c>
      <c r="AD33" s="2">
        <v>83712.437718565299</v>
      </c>
      <c r="AE33" s="2">
        <v>9.5558730000000001</v>
      </c>
      <c r="AF33" s="2">
        <v>401739</v>
      </c>
      <c r="AG33" s="2">
        <v>399650</v>
      </c>
      <c r="AH33" s="2" t="s">
        <v>81</v>
      </c>
      <c r="AI33" s="3">
        <v>46305</v>
      </c>
      <c r="AJ33" s="2" t="s">
        <v>47</v>
      </c>
      <c r="AK33" s="2" t="s">
        <v>48</v>
      </c>
      <c r="AL33" s="2" t="s">
        <v>49</v>
      </c>
      <c r="AM33" s="2" t="s">
        <v>50</v>
      </c>
    </row>
  </sheetData>
  <sortState xmlns:xlrd2="http://schemas.microsoft.com/office/spreadsheetml/2017/richdata2" ref="A10:AM33">
    <sortCondition ref="B10:B33"/>
  </sortState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A479-9CE5-1247-A643-3AC531DB48F3}">
  <dimension ref="A1:AM33"/>
  <sheetViews>
    <sheetView workbookViewId="0">
      <selection activeCell="E37" sqref="E37"/>
    </sheetView>
  </sheetViews>
  <sheetFormatPr baseColWidth="10" defaultColWidth="11" defaultRowHeight="16" x14ac:dyDescent="0.2"/>
  <sheetData>
    <row r="1" spans="1:39" x14ac:dyDescent="0.2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 x14ac:dyDescent="0.2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x14ac:dyDescent="0.2">
      <c r="A3" s="1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2">
      <c r="A4" s="1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x14ac:dyDescent="0.2">
      <c r="A5" s="1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x14ac:dyDescent="0.2">
      <c r="A6" s="1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x14ac:dyDescent="0.2">
      <c r="A9" s="1" t="s">
        <v>6</v>
      </c>
      <c r="B9" s="2" t="s">
        <v>7</v>
      </c>
      <c r="C9" s="2" t="s">
        <v>9</v>
      </c>
      <c r="D9" s="2" t="s">
        <v>8</v>
      </c>
      <c r="E9" s="2" t="s">
        <v>10</v>
      </c>
      <c r="F9" s="2" t="s">
        <v>11</v>
      </c>
      <c r="G9" s="2" t="s">
        <v>22</v>
      </c>
      <c r="H9" s="2" t="s">
        <v>23</v>
      </c>
      <c r="I9" s="2" t="s">
        <v>82</v>
      </c>
      <c r="J9" s="2" t="s">
        <v>12</v>
      </c>
      <c r="K9" s="2" t="s">
        <v>13</v>
      </c>
      <c r="L9" s="2" t="s">
        <v>14</v>
      </c>
      <c r="M9" s="2" t="s">
        <v>15</v>
      </c>
      <c r="N9" s="2" t="s">
        <v>16</v>
      </c>
      <c r="O9" s="2" t="s">
        <v>17</v>
      </c>
      <c r="P9" s="2" t="s">
        <v>18</v>
      </c>
      <c r="Q9" s="2" t="s">
        <v>19</v>
      </c>
      <c r="R9" s="2" t="s">
        <v>20</v>
      </c>
      <c r="S9" s="2" t="s">
        <v>21</v>
      </c>
      <c r="T9" s="2" t="s">
        <v>24</v>
      </c>
      <c r="U9" s="2" t="s">
        <v>25</v>
      </c>
      <c r="V9" s="2" t="s">
        <v>26</v>
      </c>
      <c r="W9" s="2" t="s">
        <v>27</v>
      </c>
      <c r="X9" s="2" t="s">
        <v>28</v>
      </c>
      <c r="Y9" s="2" t="s">
        <v>29</v>
      </c>
      <c r="Z9" s="2" t="s">
        <v>30</v>
      </c>
      <c r="AA9" s="2" t="s">
        <v>31</v>
      </c>
      <c r="AB9" s="2" t="s">
        <v>32</v>
      </c>
      <c r="AC9" s="2" t="s">
        <v>33</v>
      </c>
      <c r="AD9" s="2" t="s">
        <v>34</v>
      </c>
      <c r="AE9" s="2" t="s">
        <v>35</v>
      </c>
      <c r="AF9" s="2" t="s">
        <v>36</v>
      </c>
      <c r="AG9" s="2" t="s">
        <v>37</v>
      </c>
      <c r="AH9" s="2" t="s">
        <v>38</v>
      </c>
      <c r="AI9" s="2" t="s">
        <v>39</v>
      </c>
      <c r="AJ9" s="2" t="s">
        <v>40</v>
      </c>
      <c r="AK9" s="2" t="s">
        <v>41</v>
      </c>
      <c r="AL9" s="2" t="s">
        <v>42</v>
      </c>
      <c r="AM9" s="2" t="s">
        <v>43</v>
      </c>
    </row>
    <row r="10" spans="1:39" x14ac:dyDescent="0.2">
      <c r="A10" s="1">
        <v>0</v>
      </c>
      <c r="B10" s="2">
        <v>2.1</v>
      </c>
      <c r="C10" s="2" t="s">
        <v>45</v>
      </c>
      <c r="D10" s="2" t="s">
        <v>44</v>
      </c>
      <c r="E10" s="2">
        <v>85.036968576709796</v>
      </c>
      <c r="F10" s="2">
        <v>1619</v>
      </c>
      <c r="G10" s="2">
        <v>85.908852802514403</v>
      </c>
      <c r="H10" s="2">
        <v>269</v>
      </c>
      <c r="I10" s="2" t="s">
        <v>83</v>
      </c>
      <c r="J10" s="2">
        <v>14.9630314232902</v>
      </c>
      <c r="K10" s="2">
        <v>68.459867025267698</v>
      </c>
      <c r="L10" s="2">
        <v>85.036968576709796</v>
      </c>
      <c r="M10" s="2">
        <v>81.779061375252297</v>
      </c>
      <c r="N10" s="2">
        <v>58.610499985986898</v>
      </c>
      <c r="O10" s="2">
        <v>85.036968576709796</v>
      </c>
      <c r="P10" s="2">
        <v>85.036968576709796</v>
      </c>
      <c r="Q10" s="2">
        <v>60.543125035545899</v>
      </c>
      <c r="R10" s="2">
        <v>85.036968576709796</v>
      </c>
      <c r="S10" s="2">
        <v>82.367786095801705</v>
      </c>
      <c r="T10" s="2">
        <v>14.091147197485601</v>
      </c>
      <c r="U10" s="2">
        <v>71.803893971381697</v>
      </c>
      <c r="V10" s="2">
        <v>85.908852802514403</v>
      </c>
      <c r="W10" s="2">
        <v>83.486877166285296</v>
      </c>
      <c r="X10" s="2">
        <v>62.084507042253499</v>
      </c>
      <c r="Y10" s="2">
        <v>85.908852802514403</v>
      </c>
      <c r="Z10" s="2">
        <v>85.908852802514403</v>
      </c>
      <c r="AA10" s="2">
        <v>64.679296311046102</v>
      </c>
      <c r="AB10" s="2">
        <v>85.908852802514403</v>
      </c>
      <c r="AC10" s="2">
        <v>83.914995807707598</v>
      </c>
      <c r="AD10" s="2">
        <v>720948.827292111</v>
      </c>
      <c r="AE10" s="2">
        <v>3.8117839999999998</v>
      </c>
      <c r="AF10" s="2">
        <v>31251</v>
      </c>
      <c r="AG10" s="2">
        <v>21442</v>
      </c>
      <c r="AH10" s="2" t="s">
        <v>46</v>
      </c>
      <c r="AI10" s="3">
        <v>46305</v>
      </c>
      <c r="AJ10" s="2" t="s">
        <v>47</v>
      </c>
      <c r="AK10" s="2" t="s">
        <v>48</v>
      </c>
      <c r="AL10" s="2" t="s">
        <v>49</v>
      </c>
      <c r="AM10" s="2" t="s">
        <v>50</v>
      </c>
    </row>
    <row r="11" spans="1:39" x14ac:dyDescent="0.2">
      <c r="A11" s="1">
        <v>0</v>
      </c>
      <c r="B11" s="2">
        <v>2.1</v>
      </c>
      <c r="C11" s="2" t="s">
        <v>51</v>
      </c>
      <c r="D11" s="2" t="s">
        <v>44</v>
      </c>
      <c r="E11" s="2">
        <v>85.101663585951897</v>
      </c>
      <c r="F11" s="2">
        <v>1612</v>
      </c>
      <c r="G11" s="2">
        <v>85.123101100052395</v>
      </c>
      <c r="H11" s="2">
        <v>284</v>
      </c>
      <c r="I11" s="2" t="s">
        <v>84</v>
      </c>
      <c r="J11" s="2">
        <v>14.898336414048099</v>
      </c>
      <c r="K11" s="2" t="s">
        <v>52</v>
      </c>
      <c r="L11" s="2">
        <v>85.101663585951897</v>
      </c>
      <c r="M11" s="2" t="s">
        <v>52</v>
      </c>
      <c r="N11" s="2">
        <v>50</v>
      </c>
      <c r="O11" s="2">
        <v>85.101663585951897</v>
      </c>
      <c r="P11" s="2">
        <v>85.101663585951897</v>
      </c>
      <c r="Q11" s="2">
        <v>45.975634112242901</v>
      </c>
      <c r="R11" s="2">
        <v>85.101663585951897</v>
      </c>
      <c r="S11" s="2">
        <v>78.252058947418206</v>
      </c>
      <c r="T11" s="2">
        <v>14.8768988999476</v>
      </c>
      <c r="U11" s="2" t="s">
        <v>52</v>
      </c>
      <c r="V11" s="2">
        <v>85.123101100052395</v>
      </c>
      <c r="W11" s="2" t="s">
        <v>52</v>
      </c>
      <c r="X11" s="2">
        <v>50</v>
      </c>
      <c r="Y11" s="2">
        <v>85.123101100052395</v>
      </c>
      <c r="Z11" s="2">
        <v>85.123101100052395</v>
      </c>
      <c r="AA11" s="2">
        <v>45.9818902093945</v>
      </c>
      <c r="AB11" s="2">
        <v>85.123101100052395</v>
      </c>
      <c r="AC11" s="2">
        <v>78.282421781315904</v>
      </c>
      <c r="AD11" s="2">
        <v>21273.625619579601</v>
      </c>
      <c r="AE11" s="2">
        <v>62.572848</v>
      </c>
      <c r="AF11" s="2">
        <v>518403</v>
      </c>
      <c r="AG11" s="2">
        <v>516410</v>
      </c>
      <c r="AH11" s="2" t="s">
        <v>53</v>
      </c>
      <c r="AI11" s="3">
        <v>46305</v>
      </c>
      <c r="AJ11" s="2" t="s">
        <v>47</v>
      </c>
      <c r="AK11" s="2" t="s">
        <v>48</v>
      </c>
      <c r="AL11" s="2" t="s">
        <v>49</v>
      </c>
      <c r="AM11" s="2" t="s">
        <v>50</v>
      </c>
    </row>
    <row r="12" spans="1:39" x14ac:dyDescent="0.2">
      <c r="A12" s="1">
        <v>0</v>
      </c>
      <c r="B12" s="2">
        <v>2.11</v>
      </c>
      <c r="C12" s="2" t="s">
        <v>51</v>
      </c>
      <c r="D12" s="2" t="s">
        <v>44</v>
      </c>
      <c r="E12" s="2">
        <v>85.591497227356797</v>
      </c>
      <c r="F12" s="2">
        <v>1559</v>
      </c>
      <c r="G12" s="2">
        <v>85.646935568360405</v>
      </c>
      <c r="H12" s="2">
        <v>274</v>
      </c>
      <c r="I12" s="2" t="s">
        <v>85</v>
      </c>
      <c r="J12" s="2">
        <v>14.4085027726432</v>
      </c>
      <c r="K12" s="2">
        <v>76.698257438304594</v>
      </c>
      <c r="L12" s="2">
        <v>85.591497227356797</v>
      </c>
      <c r="M12" s="2">
        <v>83.120870999593805</v>
      </c>
      <c r="N12" s="2">
        <v>52.8976987321414</v>
      </c>
      <c r="O12" s="2">
        <v>85.591497227356797</v>
      </c>
      <c r="P12" s="2">
        <v>85.591497227356697</v>
      </c>
      <c r="Q12" s="2">
        <v>51.863974789253398</v>
      </c>
      <c r="R12" s="2">
        <v>85.591497227356797</v>
      </c>
      <c r="S12" s="2">
        <v>80.150853495208196</v>
      </c>
      <c r="T12" s="2">
        <v>14.3530644316396</v>
      </c>
      <c r="U12" s="2">
        <v>81.749809036958695</v>
      </c>
      <c r="V12" s="2">
        <v>85.646935568360405</v>
      </c>
      <c r="W12" s="2">
        <v>84.540010146734303</v>
      </c>
      <c r="X12" s="2">
        <v>52.341711809317403</v>
      </c>
      <c r="Y12" s="2">
        <v>85.646935568360405</v>
      </c>
      <c r="Z12" s="2">
        <v>85.646935568360405</v>
      </c>
      <c r="AA12" s="2">
        <v>50.739288324329998</v>
      </c>
      <c r="AB12" s="2">
        <v>85.646935568360405</v>
      </c>
      <c r="AC12" s="2">
        <v>79.868818476317998</v>
      </c>
      <c r="AD12" s="2">
        <v>306064.72052500601</v>
      </c>
      <c r="AE12" s="2">
        <v>548.01214900000002</v>
      </c>
      <c r="AF12" s="2">
        <v>432843</v>
      </c>
      <c r="AG12" s="2">
        <v>430850</v>
      </c>
      <c r="AH12" s="2" t="s">
        <v>54</v>
      </c>
      <c r="AI12" s="3">
        <v>46305</v>
      </c>
      <c r="AJ12" s="2" t="s">
        <v>47</v>
      </c>
      <c r="AK12" s="2" t="s">
        <v>48</v>
      </c>
      <c r="AL12" s="2" t="s">
        <v>49</v>
      </c>
      <c r="AM12" s="2" t="s">
        <v>50</v>
      </c>
    </row>
    <row r="13" spans="1:39" x14ac:dyDescent="0.2">
      <c r="A13" s="1">
        <v>0</v>
      </c>
      <c r="B13" s="2">
        <v>2.12</v>
      </c>
      <c r="C13" s="2" t="s">
        <v>51</v>
      </c>
      <c r="D13" s="2" t="s">
        <v>44</v>
      </c>
      <c r="E13" s="2">
        <v>85.101663585951897</v>
      </c>
      <c r="F13" s="2">
        <v>1612</v>
      </c>
      <c r="G13" s="2">
        <v>85.123101100052395</v>
      </c>
      <c r="H13" s="2">
        <v>284</v>
      </c>
      <c r="I13" s="2" t="s">
        <v>86</v>
      </c>
      <c r="J13" s="2">
        <v>14.898336414048099</v>
      </c>
      <c r="K13" s="2" t="s">
        <v>52</v>
      </c>
      <c r="L13" s="2">
        <v>85.101663585951897</v>
      </c>
      <c r="M13" s="2" t="s">
        <v>52</v>
      </c>
      <c r="N13" s="2">
        <v>50</v>
      </c>
      <c r="O13" s="2">
        <v>85.101663585951897</v>
      </c>
      <c r="P13" s="2">
        <v>85.101663585951897</v>
      </c>
      <c r="Q13" s="2">
        <v>45.975634112242901</v>
      </c>
      <c r="R13" s="2">
        <v>85.101663585951897</v>
      </c>
      <c r="S13" s="2">
        <v>78.252058947418206</v>
      </c>
      <c r="T13" s="2">
        <v>14.8768988999476</v>
      </c>
      <c r="U13" s="2" t="s">
        <v>52</v>
      </c>
      <c r="V13" s="2">
        <v>85.123101100052395</v>
      </c>
      <c r="W13" s="2" t="s">
        <v>52</v>
      </c>
      <c r="X13" s="2">
        <v>50</v>
      </c>
      <c r="Y13" s="2">
        <v>85.123101100052395</v>
      </c>
      <c r="Z13" s="2">
        <v>85.123101100052395</v>
      </c>
      <c r="AA13" s="2">
        <v>45.9818902093945</v>
      </c>
      <c r="AB13" s="2">
        <v>85.123101100052395</v>
      </c>
      <c r="AC13" s="2">
        <v>78.282421781315904</v>
      </c>
      <c r="AD13" s="2">
        <v>5081.7256074822499</v>
      </c>
      <c r="AE13" s="2">
        <v>42.573500000000003</v>
      </c>
      <c r="AF13" s="2">
        <v>1298759</v>
      </c>
      <c r="AG13" s="2">
        <v>1296770</v>
      </c>
      <c r="AH13" s="2" t="s">
        <v>55</v>
      </c>
      <c r="AI13" s="3">
        <v>46305</v>
      </c>
      <c r="AJ13" s="2" t="s">
        <v>47</v>
      </c>
      <c r="AK13" s="2" t="s">
        <v>48</v>
      </c>
      <c r="AL13" s="2" t="s">
        <v>49</v>
      </c>
      <c r="AM13" s="2" t="s">
        <v>50</v>
      </c>
    </row>
    <row r="14" spans="1:39" x14ac:dyDescent="0.2">
      <c r="A14" s="1">
        <v>0</v>
      </c>
      <c r="B14" s="2">
        <v>2.13</v>
      </c>
      <c r="C14" s="2" t="s">
        <v>51</v>
      </c>
      <c r="D14" s="2" t="s">
        <v>44</v>
      </c>
      <c r="E14" s="2">
        <v>85.2772643253235</v>
      </c>
      <c r="F14" s="2">
        <v>1593</v>
      </c>
      <c r="G14" s="2">
        <v>85.437401781037195</v>
      </c>
      <c r="H14" s="2">
        <v>278</v>
      </c>
      <c r="I14" s="2" t="s">
        <v>87</v>
      </c>
      <c r="J14" s="2">
        <v>14.7227356746765</v>
      </c>
      <c r="K14" s="2">
        <v>73.453635721988306</v>
      </c>
      <c r="L14" s="2">
        <v>85.2772643253235</v>
      </c>
      <c r="M14" s="2">
        <v>81.883547761685506</v>
      </c>
      <c r="N14" s="2">
        <v>51.408123909945601</v>
      </c>
      <c r="O14" s="2">
        <v>85.2772643253235</v>
      </c>
      <c r="P14" s="2">
        <v>85.2772643253235</v>
      </c>
      <c r="Q14" s="2">
        <v>49.015367481813897</v>
      </c>
      <c r="R14" s="2">
        <v>85.2772643253235</v>
      </c>
      <c r="S14" s="2">
        <v>79.201161281627506</v>
      </c>
      <c r="T14" s="2">
        <v>14.562598218962799</v>
      </c>
      <c r="U14" s="2">
        <v>82.733017377567094</v>
      </c>
      <c r="V14" s="2">
        <v>85.437401781037195</v>
      </c>
      <c r="W14" s="2">
        <v>84.652858290776905</v>
      </c>
      <c r="X14" s="2">
        <v>51.346912242686898</v>
      </c>
      <c r="Y14" s="2">
        <v>85.437401781037195</v>
      </c>
      <c r="Z14" s="2">
        <v>85.437401781037195</v>
      </c>
      <c r="AA14" s="2">
        <v>48.776707050584101</v>
      </c>
      <c r="AB14" s="2">
        <v>85.437401781037195</v>
      </c>
      <c r="AC14" s="2">
        <v>79.217568743176997</v>
      </c>
      <c r="AD14" s="2">
        <v>8199.9949981546197</v>
      </c>
      <c r="AE14" s="2">
        <v>33.770479999999999</v>
      </c>
      <c r="AF14" s="2">
        <v>492839</v>
      </c>
      <c r="AG14" s="2">
        <v>490850</v>
      </c>
      <c r="AH14" s="2" t="s">
        <v>56</v>
      </c>
      <c r="AI14" s="3">
        <v>46305</v>
      </c>
      <c r="AJ14" s="2" t="s">
        <v>47</v>
      </c>
      <c r="AK14" s="2" t="s">
        <v>48</v>
      </c>
      <c r="AL14" s="2" t="s">
        <v>49</v>
      </c>
      <c r="AM14" s="2" t="s">
        <v>50</v>
      </c>
    </row>
    <row r="15" spans="1:39" x14ac:dyDescent="0.2">
      <c r="A15" s="1">
        <v>0</v>
      </c>
      <c r="B15" s="2">
        <v>2.14</v>
      </c>
      <c r="C15" s="2" t="s">
        <v>51</v>
      </c>
      <c r="D15" s="2" t="s">
        <v>44</v>
      </c>
      <c r="E15" s="2">
        <v>85.101663585951897</v>
      </c>
      <c r="F15" s="2">
        <v>1612</v>
      </c>
      <c r="G15" s="2">
        <v>85.123101100052395</v>
      </c>
      <c r="H15" s="2">
        <v>284</v>
      </c>
      <c r="I15" s="2" t="s">
        <v>88</v>
      </c>
      <c r="J15" s="2">
        <v>14.898336414048099</v>
      </c>
      <c r="K15" s="2" t="s">
        <v>52</v>
      </c>
      <c r="L15" s="2">
        <v>85.101663585951897</v>
      </c>
      <c r="M15" s="2" t="s">
        <v>52</v>
      </c>
      <c r="N15" s="2">
        <v>50</v>
      </c>
      <c r="O15" s="2">
        <v>85.101663585951897</v>
      </c>
      <c r="P15" s="2">
        <v>85.101663585951897</v>
      </c>
      <c r="Q15" s="2">
        <v>45.975634112242901</v>
      </c>
      <c r="R15" s="2">
        <v>85.101663585951897</v>
      </c>
      <c r="S15" s="2">
        <v>78.252058947418206</v>
      </c>
      <c r="T15" s="2">
        <v>14.8768988999476</v>
      </c>
      <c r="U15" s="2" t="s">
        <v>52</v>
      </c>
      <c r="V15" s="2">
        <v>85.123101100052395</v>
      </c>
      <c r="W15" s="2" t="s">
        <v>52</v>
      </c>
      <c r="X15" s="2">
        <v>50</v>
      </c>
      <c r="Y15" s="2">
        <v>85.123101100052395</v>
      </c>
      <c r="Z15" s="2">
        <v>85.123101100052395</v>
      </c>
      <c r="AA15" s="2">
        <v>45.9818902093945</v>
      </c>
      <c r="AB15" s="2">
        <v>85.123101100052395</v>
      </c>
      <c r="AC15" s="2">
        <v>78.282421781315904</v>
      </c>
      <c r="AD15" s="2">
        <v>9387.0564464005092</v>
      </c>
      <c r="AE15" s="2">
        <v>36.533296</v>
      </c>
      <c r="AF15" s="2">
        <v>451799</v>
      </c>
      <c r="AG15" s="2">
        <v>449810</v>
      </c>
      <c r="AH15" s="2" t="s">
        <v>57</v>
      </c>
      <c r="AI15" s="3">
        <v>46305</v>
      </c>
      <c r="AJ15" s="2" t="s">
        <v>47</v>
      </c>
      <c r="AK15" s="2" t="s">
        <v>48</v>
      </c>
      <c r="AL15" s="2" t="s">
        <v>49</v>
      </c>
      <c r="AM15" s="2" t="s">
        <v>50</v>
      </c>
    </row>
    <row r="16" spans="1:39" x14ac:dyDescent="0.2">
      <c r="A16" s="1">
        <v>0</v>
      </c>
      <c r="B16" s="2">
        <v>2.15</v>
      </c>
      <c r="C16" s="2" t="s">
        <v>58</v>
      </c>
      <c r="D16" s="2" t="s">
        <v>44</v>
      </c>
      <c r="E16" s="2">
        <v>85.970425138632194</v>
      </c>
      <c r="F16" s="2">
        <v>1518</v>
      </c>
      <c r="G16" s="2">
        <v>86.851754845468804</v>
      </c>
      <c r="H16" s="2">
        <v>251</v>
      </c>
      <c r="I16" s="2" t="s">
        <v>89</v>
      </c>
      <c r="J16" s="2">
        <v>14.0295748613678</v>
      </c>
      <c r="K16" s="2">
        <v>74.940273338253107</v>
      </c>
      <c r="L16" s="2">
        <v>85.970425138632194</v>
      </c>
      <c r="M16" s="2">
        <v>83.232537102671103</v>
      </c>
      <c r="N16" s="2">
        <v>56.293157530510697</v>
      </c>
      <c r="O16" s="2">
        <v>85.970425138632194</v>
      </c>
      <c r="P16" s="2">
        <v>85.970425138632194</v>
      </c>
      <c r="Q16" s="2">
        <v>57.613413195904997</v>
      </c>
      <c r="R16" s="2">
        <v>85.970425138632194</v>
      </c>
      <c r="S16" s="2">
        <v>81.952380734544107</v>
      </c>
      <c r="T16" s="2">
        <v>13.1482451545312</v>
      </c>
      <c r="U16" s="2">
        <v>79.213529777962194</v>
      </c>
      <c r="V16" s="2">
        <v>86.851754845468804</v>
      </c>
      <c r="W16" s="2">
        <v>85.063249832517499</v>
      </c>
      <c r="X16" s="2">
        <v>59.151462621885202</v>
      </c>
      <c r="Y16" s="2">
        <v>86.851754845468804</v>
      </c>
      <c r="Z16" s="2">
        <v>86.851754845468804</v>
      </c>
      <c r="AA16" s="2">
        <v>61.794580457914201</v>
      </c>
      <c r="AB16" s="2">
        <v>86.851754845468804</v>
      </c>
      <c r="AC16" s="2">
        <v>83.529167038580894</v>
      </c>
      <c r="AD16" s="2">
        <v>30268.2742607771</v>
      </c>
      <c r="AE16" s="2">
        <v>13.149196</v>
      </c>
      <c r="AF16" s="2">
        <v>309556</v>
      </c>
      <c r="AG16" s="2">
        <v>126761</v>
      </c>
      <c r="AH16" s="2" t="s">
        <v>59</v>
      </c>
      <c r="AI16" s="3">
        <v>46305</v>
      </c>
      <c r="AJ16" s="2" t="s">
        <v>47</v>
      </c>
      <c r="AK16" s="2" t="s">
        <v>48</v>
      </c>
      <c r="AL16" s="2" t="s">
        <v>49</v>
      </c>
      <c r="AM16" s="2" t="s">
        <v>50</v>
      </c>
    </row>
    <row r="17" spans="1:39" x14ac:dyDescent="0.2">
      <c r="A17" s="1">
        <v>0</v>
      </c>
      <c r="B17" s="2">
        <v>2.16</v>
      </c>
      <c r="C17" s="2" t="s">
        <v>58</v>
      </c>
      <c r="D17" s="2" t="s">
        <v>44</v>
      </c>
      <c r="E17" s="2">
        <v>85.591497227356797</v>
      </c>
      <c r="F17" s="2">
        <v>1559</v>
      </c>
      <c r="G17" s="2">
        <v>86.118386589837598</v>
      </c>
      <c r="H17" s="2">
        <v>265</v>
      </c>
      <c r="I17" s="2" t="s">
        <v>90</v>
      </c>
      <c r="J17" s="2">
        <v>14.4085027726432</v>
      </c>
      <c r="K17" s="2">
        <v>70.956691022597795</v>
      </c>
      <c r="L17" s="2">
        <v>85.591497227356797</v>
      </c>
      <c r="M17" s="2">
        <v>82.466940342472398</v>
      </c>
      <c r="N17" s="2">
        <v>58.398970147870102</v>
      </c>
      <c r="O17" s="2">
        <v>85.591497227356797</v>
      </c>
      <c r="P17" s="2">
        <v>85.591497227356697</v>
      </c>
      <c r="Q17" s="2">
        <v>60.446754025597599</v>
      </c>
      <c r="R17" s="2">
        <v>85.591497227356797</v>
      </c>
      <c r="S17" s="2">
        <v>82.586486187480304</v>
      </c>
      <c r="T17" s="2">
        <v>13.8816134101624</v>
      </c>
      <c r="U17" s="2">
        <v>73.370816175694202</v>
      </c>
      <c r="V17" s="2">
        <v>86.118386589837598</v>
      </c>
      <c r="W17" s="2">
        <v>83.4323181918015</v>
      </c>
      <c r="X17" s="2">
        <v>59.592416034669597</v>
      </c>
      <c r="Y17" s="2">
        <v>86.118386589837598</v>
      </c>
      <c r="Z17" s="2">
        <v>86.118386589837598</v>
      </c>
      <c r="AA17" s="2">
        <v>62.074203021109099</v>
      </c>
      <c r="AB17" s="2">
        <v>86.118386589837598</v>
      </c>
      <c r="AC17" s="2">
        <v>83.286867603783406</v>
      </c>
      <c r="AD17" s="2">
        <v>21777.766148656399</v>
      </c>
      <c r="AE17" s="2">
        <v>29.026976999999999</v>
      </c>
      <c r="AF17" s="2">
        <v>6773880</v>
      </c>
      <c r="AG17" s="2">
        <v>4895789</v>
      </c>
      <c r="AH17" s="2" t="s">
        <v>60</v>
      </c>
      <c r="AI17" s="3">
        <v>46305</v>
      </c>
      <c r="AJ17" s="2" t="s">
        <v>47</v>
      </c>
      <c r="AK17" s="2" t="s">
        <v>48</v>
      </c>
      <c r="AL17" s="2" t="s">
        <v>49</v>
      </c>
      <c r="AM17" s="2" t="s">
        <v>50</v>
      </c>
    </row>
    <row r="18" spans="1:39" x14ac:dyDescent="0.2">
      <c r="A18" s="1">
        <v>0</v>
      </c>
      <c r="B18" s="2">
        <v>2.17</v>
      </c>
      <c r="C18" s="2" t="s">
        <v>58</v>
      </c>
      <c r="D18" s="2" t="s">
        <v>44</v>
      </c>
      <c r="E18" s="2">
        <v>71.219963031423305</v>
      </c>
      <c r="F18" s="2">
        <v>3114</v>
      </c>
      <c r="G18" s="2">
        <v>69.931901519120004</v>
      </c>
      <c r="H18" s="2">
        <v>574</v>
      </c>
      <c r="I18" s="2" t="s">
        <v>91</v>
      </c>
      <c r="J18" s="2">
        <v>28.780036968576699</v>
      </c>
      <c r="K18" s="2">
        <v>62.759918307657699</v>
      </c>
      <c r="L18" s="2">
        <v>71.219963031423305</v>
      </c>
      <c r="M18" s="2">
        <v>85.011476383046698</v>
      </c>
      <c r="N18" s="2">
        <v>73.367613230915794</v>
      </c>
      <c r="O18" s="2">
        <v>71.219963031423305</v>
      </c>
      <c r="P18" s="2">
        <v>71.219963031423305</v>
      </c>
      <c r="Q18" s="2">
        <v>62.393082488398001</v>
      </c>
      <c r="R18" s="2">
        <v>71.219963031423305</v>
      </c>
      <c r="S18" s="2">
        <v>75.183808281000097</v>
      </c>
      <c r="T18" s="2">
        <v>30.06809848088</v>
      </c>
      <c r="U18" s="2">
        <v>61.3101251895826</v>
      </c>
      <c r="V18" s="2">
        <v>69.931901519120004</v>
      </c>
      <c r="W18" s="2">
        <v>83.847751033460995</v>
      </c>
      <c r="X18" s="2">
        <v>70.715492957746505</v>
      </c>
      <c r="Y18" s="2">
        <v>69.931901519120004</v>
      </c>
      <c r="Z18" s="2">
        <v>69.931901519120004</v>
      </c>
      <c r="AA18" s="2">
        <v>60.654043588542997</v>
      </c>
      <c r="AB18" s="2">
        <v>69.931901519120004</v>
      </c>
      <c r="AC18" s="2">
        <v>74.0754108861737</v>
      </c>
      <c r="AD18" s="2">
        <v>47310.8876257105</v>
      </c>
      <c r="AE18" s="2">
        <v>9.5760799999999993</v>
      </c>
      <c r="AF18" s="2">
        <v>294568</v>
      </c>
      <c r="AG18" s="2">
        <v>113549</v>
      </c>
      <c r="AH18" s="2" t="s">
        <v>61</v>
      </c>
      <c r="AI18" s="3">
        <v>46305</v>
      </c>
      <c r="AJ18" s="2" t="s">
        <v>47</v>
      </c>
      <c r="AK18" s="2" t="s">
        <v>48</v>
      </c>
      <c r="AL18" s="2" t="s">
        <v>49</v>
      </c>
      <c r="AM18" s="2" t="s">
        <v>50</v>
      </c>
    </row>
    <row r="19" spans="1:39" x14ac:dyDescent="0.2">
      <c r="A19" s="1">
        <v>0</v>
      </c>
      <c r="B19" s="2">
        <v>2.1800000000000002</v>
      </c>
      <c r="C19" s="2" t="s">
        <v>62</v>
      </c>
      <c r="D19" s="2" t="s">
        <v>44</v>
      </c>
      <c r="E19" s="2">
        <v>85.646950092421406</v>
      </c>
      <c r="F19" s="2">
        <v>1553</v>
      </c>
      <c r="G19" s="2">
        <v>86.327920377160794</v>
      </c>
      <c r="H19" s="2">
        <v>261</v>
      </c>
      <c r="I19" s="2" t="s">
        <v>92</v>
      </c>
      <c r="J19" s="2">
        <v>14.353049907578599</v>
      </c>
      <c r="K19" s="2">
        <v>71.843199761303893</v>
      </c>
      <c r="L19" s="2">
        <v>85.646950092421406</v>
      </c>
      <c r="M19" s="2">
        <v>82.372752634889807</v>
      </c>
      <c r="N19" s="2">
        <v>56.589264271223897</v>
      </c>
      <c r="O19" s="2">
        <v>85.646950092421406</v>
      </c>
      <c r="P19" s="2">
        <v>85.646950092421406</v>
      </c>
      <c r="Q19" s="2">
        <v>58.029827205163997</v>
      </c>
      <c r="R19" s="2">
        <v>85.646950092421406</v>
      </c>
      <c r="S19" s="2">
        <v>81.930894249895402</v>
      </c>
      <c r="T19" s="2">
        <v>13.672079622839201</v>
      </c>
      <c r="U19" s="2">
        <v>76.259905488913105</v>
      </c>
      <c r="V19" s="2">
        <v>86.327920377160794</v>
      </c>
      <c r="W19" s="2">
        <v>83.935407458862002</v>
      </c>
      <c r="X19" s="2">
        <v>57.826760563380297</v>
      </c>
      <c r="Y19" s="2">
        <v>86.327920377160794</v>
      </c>
      <c r="Z19" s="2">
        <v>86.327920377160794</v>
      </c>
      <c r="AA19" s="2">
        <v>59.876258374061102</v>
      </c>
      <c r="AB19" s="2">
        <v>86.327920377160794</v>
      </c>
      <c r="AC19" s="2">
        <v>82.761212403839593</v>
      </c>
      <c r="AD19" s="2">
        <v>238110.957065205</v>
      </c>
      <c r="AE19" s="2">
        <v>30.366053999999998</v>
      </c>
      <c r="AF19" s="2">
        <v>8084</v>
      </c>
      <c r="AG19" s="2">
        <v>5630</v>
      </c>
      <c r="AH19" s="2" t="s">
        <v>63</v>
      </c>
      <c r="AI19" s="3">
        <v>46305</v>
      </c>
      <c r="AJ19" s="2" t="s">
        <v>47</v>
      </c>
      <c r="AK19" s="2" t="s">
        <v>48</v>
      </c>
      <c r="AL19" s="2" t="s">
        <v>49</v>
      </c>
      <c r="AM19" s="2" t="s">
        <v>50</v>
      </c>
    </row>
    <row r="20" spans="1:39" x14ac:dyDescent="0.2">
      <c r="A20" s="1">
        <v>0</v>
      </c>
      <c r="B20" s="2">
        <v>2.19</v>
      </c>
      <c r="C20" s="2" t="s">
        <v>62</v>
      </c>
      <c r="D20" s="2" t="s">
        <v>44</v>
      </c>
      <c r="E20" s="2">
        <v>84.593345656192199</v>
      </c>
      <c r="F20" s="2">
        <v>1667</v>
      </c>
      <c r="G20" s="2">
        <v>85.437401781037195</v>
      </c>
      <c r="H20" s="2">
        <v>278</v>
      </c>
      <c r="I20" s="2" t="s">
        <v>93</v>
      </c>
      <c r="J20" s="2">
        <v>15.4066543438078</v>
      </c>
      <c r="K20" s="2">
        <v>66.516755438322306</v>
      </c>
      <c r="L20" s="2">
        <v>84.593345656192199</v>
      </c>
      <c r="M20" s="2">
        <v>80.997854288242095</v>
      </c>
      <c r="N20" s="2">
        <v>57.556650490564898</v>
      </c>
      <c r="O20" s="2">
        <v>84.593345656192199</v>
      </c>
      <c r="P20" s="2">
        <v>84.593345656192199</v>
      </c>
      <c r="Q20" s="2">
        <v>59.153518220383702</v>
      </c>
      <c r="R20" s="2">
        <v>84.593345656192199</v>
      </c>
      <c r="S20" s="2">
        <v>81.783911615676104</v>
      </c>
      <c r="T20" s="2">
        <v>14.562598218962799</v>
      </c>
      <c r="U20" s="2">
        <v>70.149463689115507</v>
      </c>
      <c r="V20" s="2">
        <v>85.437401781037195</v>
      </c>
      <c r="W20" s="2">
        <v>82.061796624192198</v>
      </c>
      <c r="X20" s="2">
        <v>57.448970747562299</v>
      </c>
      <c r="Y20" s="2">
        <v>85.437401781037195</v>
      </c>
      <c r="Z20" s="2">
        <v>85.437401781037195</v>
      </c>
      <c r="AA20" s="2">
        <v>59.186815553094597</v>
      </c>
      <c r="AB20" s="2">
        <v>85.437401781037195</v>
      </c>
      <c r="AC20" s="2">
        <v>82.179654306635399</v>
      </c>
      <c r="AD20" s="2">
        <v>209126.57763002801</v>
      </c>
      <c r="AE20" s="2">
        <v>43.123094999999999</v>
      </c>
      <c r="AF20" s="2">
        <v>10004</v>
      </c>
      <c r="AG20" s="2">
        <v>7550</v>
      </c>
      <c r="AH20" s="2" t="s">
        <v>64</v>
      </c>
      <c r="AI20" s="3">
        <v>46305</v>
      </c>
      <c r="AJ20" s="2" t="s">
        <v>47</v>
      </c>
      <c r="AK20" s="2" t="s">
        <v>48</v>
      </c>
      <c r="AL20" s="2" t="s">
        <v>49</v>
      </c>
      <c r="AM20" s="2" t="s">
        <v>50</v>
      </c>
    </row>
    <row r="21" spans="1:39" x14ac:dyDescent="0.2">
      <c r="A21" s="1">
        <v>0</v>
      </c>
      <c r="B21" s="2">
        <v>2.2000000000000002</v>
      </c>
      <c r="C21" s="2" t="s">
        <v>45</v>
      </c>
      <c r="D21" s="2" t="s">
        <v>44</v>
      </c>
      <c r="E21" s="2">
        <v>85.656192236598898</v>
      </c>
      <c r="F21" s="2">
        <v>1552</v>
      </c>
      <c r="G21" s="2">
        <v>86.118386589837598</v>
      </c>
      <c r="H21" s="2">
        <v>265</v>
      </c>
      <c r="I21" s="2" t="s">
        <v>94</v>
      </c>
      <c r="J21" s="2">
        <v>14.343807763401101</v>
      </c>
      <c r="K21" s="2">
        <v>71.801743016913704</v>
      </c>
      <c r="L21" s="2">
        <v>85.656192236598898</v>
      </c>
      <c r="M21" s="2">
        <v>82.406176337422394</v>
      </c>
      <c r="N21" s="2">
        <v>56.824980112233803</v>
      </c>
      <c r="O21" s="2">
        <v>85.656192236598898</v>
      </c>
      <c r="P21" s="2">
        <v>85.656192236598898</v>
      </c>
      <c r="Q21" s="2">
        <v>58.366869303926102</v>
      </c>
      <c r="R21" s="2">
        <v>85.656192236598898</v>
      </c>
      <c r="S21" s="2">
        <v>82.030076723627303</v>
      </c>
      <c r="T21" s="2">
        <v>13.8816134101624</v>
      </c>
      <c r="U21" s="2">
        <v>74.463759894102694</v>
      </c>
      <c r="V21" s="2">
        <v>86.118386589837598</v>
      </c>
      <c r="W21" s="2">
        <v>83.409870025173404</v>
      </c>
      <c r="X21" s="2">
        <v>57.848970747562298</v>
      </c>
      <c r="Y21" s="2">
        <v>86.118386589837598</v>
      </c>
      <c r="Z21" s="2">
        <v>86.118386589837598</v>
      </c>
      <c r="AA21" s="2">
        <v>59.861387159864996</v>
      </c>
      <c r="AB21" s="2">
        <v>86.118386589837598</v>
      </c>
      <c r="AC21" s="2">
        <v>82.6662033746275</v>
      </c>
      <c r="AD21" s="2">
        <v>800059.15409642097</v>
      </c>
      <c r="AE21" s="2">
        <v>0.73102299999999998</v>
      </c>
      <c r="AF21" s="2">
        <v>9855</v>
      </c>
      <c r="AG21" s="2">
        <v>4998</v>
      </c>
      <c r="AH21" s="2" t="s">
        <v>65</v>
      </c>
      <c r="AI21" s="3">
        <v>46305</v>
      </c>
      <c r="AJ21" s="2" t="s">
        <v>47</v>
      </c>
      <c r="AK21" s="2" t="s">
        <v>48</v>
      </c>
      <c r="AL21" s="2" t="s">
        <v>49</v>
      </c>
      <c r="AM21" s="2" t="s">
        <v>50</v>
      </c>
    </row>
    <row r="22" spans="1:39" x14ac:dyDescent="0.2">
      <c r="A22" s="1">
        <v>0</v>
      </c>
      <c r="B22" s="2">
        <v>2.2000000000000002</v>
      </c>
      <c r="C22" s="2" t="s">
        <v>62</v>
      </c>
      <c r="D22" s="2" t="s">
        <v>44</v>
      </c>
      <c r="E22" s="2">
        <v>79.242144177449205</v>
      </c>
      <c r="F22" s="2">
        <v>2246</v>
      </c>
      <c r="G22" s="2">
        <v>80.9324253535883</v>
      </c>
      <c r="H22" s="2">
        <v>364</v>
      </c>
      <c r="I22" s="2" t="s">
        <v>95</v>
      </c>
      <c r="J22" s="2">
        <v>20.757855822550798</v>
      </c>
      <c r="K22" s="2">
        <v>58.1263045137784</v>
      </c>
      <c r="L22" s="2">
        <v>79.242144177449205</v>
      </c>
      <c r="M22" s="2">
        <v>78.647788403906702</v>
      </c>
      <c r="N22" s="2">
        <v>57.662233509323002</v>
      </c>
      <c r="O22" s="2">
        <v>79.242144177449205</v>
      </c>
      <c r="P22" s="2">
        <v>79.242144177449205</v>
      </c>
      <c r="Q22" s="2">
        <v>57.875307393154202</v>
      </c>
      <c r="R22" s="2">
        <v>79.242144177449205</v>
      </c>
      <c r="S22" s="2">
        <v>78.937141316526194</v>
      </c>
      <c r="T22" s="2">
        <v>19.0675746464117</v>
      </c>
      <c r="U22" s="2">
        <v>60.177759957230698</v>
      </c>
      <c r="V22" s="2">
        <v>80.9324253535883</v>
      </c>
      <c r="W22" s="2">
        <v>79.438663968660094</v>
      </c>
      <c r="X22" s="2">
        <v>58.580281690140801</v>
      </c>
      <c r="Y22" s="2">
        <v>80.9324253535883</v>
      </c>
      <c r="Z22" s="2">
        <v>80.9324253535883</v>
      </c>
      <c r="AA22" s="2">
        <v>59.216871146920603</v>
      </c>
      <c r="AB22" s="2">
        <v>80.9324253535883</v>
      </c>
      <c r="AC22" s="2">
        <v>80.121794471501602</v>
      </c>
      <c r="AD22" s="2">
        <v>512844.81941416202</v>
      </c>
      <c r="AE22" s="2">
        <v>94.005886000000004</v>
      </c>
      <c r="AF22" s="2">
        <v>19604</v>
      </c>
      <c r="AG22" s="2">
        <v>17150</v>
      </c>
      <c r="AH22" s="2" t="s">
        <v>66</v>
      </c>
      <c r="AI22" s="3">
        <v>46305</v>
      </c>
      <c r="AJ22" s="2" t="s">
        <v>47</v>
      </c>
      <c r="AK22" s="2" t="s">
        <v>48</v>
      </c>
      <c r="AL22" s="2" t="s">
        <v>49</v>
      </c>
      <c r="AM22" s="2" t="s">
        <v>50</v>
      </c>
    </row>
    <row r="23" spans="1:39" x14ac:dyDescent="0.2">
      <c r="A23" s="1">
        <v>0</v>
      </c>
      <c r="B23" s="2">
        <v>2.21</v>
      </c>
      <c r="C23" s="2" t="s">
        <v>62</v>
      </c>
      <c r="D23" s="2" t="s">
        <v>44</v>
      </c>
      <c r="E23" s="2">
        <v>84.824399260628496</v>
      </c>
      <c r="F23" s="2">
        <v>1642</v>
      </c>
      <c r="G23" s="2">
        <v>85.5421686746988</v>
      </c>
      <c r="H23" s="2">
        <v>276</v>
      </c>
      <c r="I23" s="2" t="s">
        <v>96</v>
      </c>
      <c r="J23" s="2">
        <v>15.1756007393715</v>
      </c>
      <c r="K23" s="2">
        <v>67.036924531571202</v>
      </c>
      <c r="L23" s="2">
        <v>84.824399260628496</v>
      </c>
      <c r="M23" s="2">
        <v>80.926075234893503</v>
      </c>
      <c r="N23" s="2">
        <v>56.438623874374002</v>
      </c>
      <c r="O23" s="2">
        <v>84.824399260628496</v>
      </c>
      <c r="P23" s="2">
        <v>84.824399260628496</v>
      </c>
      <c r="Q23" s="2">
        <v>57.741367973612</v>
      </c>
      <c r="R23" s="2">
        <v>84.824399260628496</v>
      </c>
      <c r="S23" s="2">
        <v>81.491391715955203</v>
      </c>
      <c r="T23" s="2">
        <v>14.4578313253012</v>
      </c>
      <c r="U23" s="2">
        <v>71.485145921022706</v>
      </c>
      <c r="V23" s="2">
        <v>85.5421686746988</v>
      </c>
      <c r="W23" s="2">
        <v>82.045631922523896</v>
      </c>
      <c r="X23" s="2">
        <v>55.331202600216699</v>
      </c>
      <c r="Y23" s="2">
        <v>85.5421686746988</v>
      </c>
      <c r="Z23" s="2">
        <v>85.5421686746988</v>
      </c>
      <c r="AA23" s="2">
        <v>56.140952558536</v>
      </c>
      <c r="AB23" s="2">
        <v>85.5421686746988</v>
      </c>
      <c r="AC23" s="2">
        <v>81.366180205224595</v>
      </c>
      <c r="AD23" s="2">
        <v>116840.34339398499</v>
      </c>
      <c r="AE23" s="2">
        <v>40.372059999999998</v>
      </c>
      <c r="AF23" s="2">
        <v>9856</v>
      </c>
      <c r="AG23" s="2">
        <v>6878</v>
      </c>
      <c r="AH23" s="2" t="s">
        <v>67</v>
      </c>
      <c r="AI23" s="3">
        <v>46305</v>
      </c>
      <c r="AJ23" s="2" t="s">
        <v>47</v>
      </c>
      <c r="AK23" s="2" t="s">
        <v>48</v>
      </c>
      <c r="AL23" s="2" t="s">
        <v>49</v>
      </c>
      <c r="AM23" s="2" t="s">
        <v>50</v>
      </c>
    </row>
    <row r="24" spans="1:39" x14ac:dyDescent="0.2">
      <c r="A24" s="1">
        <v>0</v>
      </c>
      <c r="B24" s="2">
        <v>2.2200000000000002</v>
      </c>
      <c r="C24" s="2" t="s">
        <v>62</v>
      </c>
      <c r="D24" s="2" t="s">
        <v>44</v>
      </c>
      <c r="E24" s="2">
        <v>84.833641404805903</v>
      </c>
      <c r="F24" s="2">
        <v>1641</v>
      </c>
      <c r="G24" s="2">
        <v>85.804085908852798</v>
      </c>
      <c r="H24" s="2">
        <v>271</v>
      </c>
      <c r="I24" s="2" t="s">
        <v>97</v>
      </c>
      <c r="J24" s="2">
        <v>15.166358595194099</v>
      </c>
      <c r="K24" s="2">
        <v>67.180131939633299</v>
      </c>
      <c r="L24" s="2">
        <v>84.833641404805903</v>
      </c>
      <c r="M24" s="2">
        <v>81.030168904872994</v>
      </c>
      <c r="N24" s="2">
        <v>56.751101642115103</v>
      </c>
      <c r="O24" s="2">
        <v>84.833641404805903</v>
      </c>
      <c r="P24" s="2">
        <v>84.833641404805903</v>
      </c>
      <c r="Q24" s="2">
        <v>58.163084474937001</v>
      </c>
      <c r="R24" s="2">
        <v>84.833641404805903</v>
      </c>
      <c r="S24" s="2">
        <v>81.613663296477</v>
      </c>
      <c r="T24" s="2">
        <v>14.1959140911472</v>
      </c>
      <c r="U24" s="2">
        <v>71.822066862364807</v>
      </c>
      <c r="V24" s="2">
        <v>85.804085908852798</v>
      </c>
      <c r="W24" s="2">
        <v>82.883947417727896</v>
      </c>
      <c r="X24" s="2">
        <v>59.117226435536303</v>
      </c>
      <c r="Y24" s="2">
        <v>85.804085908852798</v>
      </c>
      <c r="Z24" s="2">
        <v>85.804085908852798</v>
      </c>
      <c r="AA24" s="2">
        <v>61.391373006745702</v>
      </c>
      <c r="AB24" s="2">
        <v>85.804085908852798</v>
      </c>
      <c r="AC24" s="2">
        <v>82.957544285879806</v>
      </c>
      <c r="AD24" s="2">
        <v>433789.03900893999</v>
      </c>
      <c r="AE24" s="2">
        <v>42.699334999999998</v>
      </c>
      <c r="AF24" s="2">
        <v>11628</v>
      </c>
      <c r="AG24" s="2">
        <v>8126</v>
      </c>
      <c r="AH24" s="2" t="s">
        <v>68</v>
      </c>
      <c r="AI24" s="3">
        <v>46305</v>
      </c>
      <c r="AJ24" s="2" t="s">
        <v>47</v>
      </c>
      <c r="AK24" s="2" t="s">
        <v>48</v>
      </c>
      <c r="AL24" s="2" t="s">
        <v>49</v>
      </c>
      <c r="AM24" s="2" t="s">
        <v>50</v>
      </c>
    </row>
    <row r="25" spans="1:39" x14ac:dyDescent="0.2">
      <c r="A25" s="1">
        <v>0</v>
      </c>
      <c r="B25" s="2">
        <v>2.23</v>
      </c>
      <c r="C25" s="2" t="s">
        <v>69</v>
      </c>
      <c r="D25" s="2" t="s">
        <v>44</v>
      </c>
      <c r="E25" s="2">
        <v>85.101663585951897</v>
      </c>
      <c r="F25" s="2">
        <v>1612</v>
      </c>
      <c r="G25" s="2">
        <v>85.123101100052395</v>
      </c>
      <c r="H25" s="2">
        <v>284</v>
      </c>
      <c r="I25" s="2" t="s">
        <v>98</v>
      </c>
      <c r="J25" s="2">
        <v>14.898336414048099</v>
      </c>
      <c r="K25" s="2" t="s">
        <v>52</v>
      </c>
      <c r="L25" s="2">
        <v>85.101663585951897</v>
      </c>
      <c r="M25" s="2" t="s">
        <v>52</v>
      </c>
      <c r="N25" s="2">
        <v>50</v>
      </c>
      <c r="O25" s="2">
        <v>85.101663585951897</v>
      </c>
      <c r="P25" s="2">
        <v>85.101663585951897</v>
      </c>
      <c r="Q25" s="2">
        <v>45.975634112242901</v>
      </c>
      <c r="R25" s="2">
        <v>85.101663585951897</v>
      </c>
      <c r="S25" s="2">
        <v>78.252058947418206</v>
      </c>
      <c r="T25" s="2">
        <v>14.8768988999476</v>
      </c>
      <c r="U25" s="2" t="s">
        <v>52</v>
      </c>
      <c r="V25" s="2">
        <v>85.123101100052395</v>
      </c>
      <c r="W25" s="2" t="s">
        <v>52</v>
      </c>
      <c r="X25" s="2">
        <v>50</v>
      </c>
      <c r="Y25" s="2">
        <v>85.123101100052395</v>
      </c>
      <c r="Z25" s="2">
        <v>85.123101100052395</v>
      </c>
      <c r="AA25" s="2">
        <v>45.9818902093945</v>
      </c>
      <c r="AB25" s="2">
        <v>85.123101100052395</v>
      </c>
      <c r="AC25" s="2">
        <v>78.282421781315904</v>
      </c>
      <c r="AD25" s="2">
        <v>31826.899318751399</v>
      </c>
      <c r="AE25" s="2">
        <v>36.753915999999997</v>
      </c>
      <c r="AF25" s="2">
        <v>13438</v>
      </c>
      <c r="AG25" s="2">
        <v>14120</v>
      </c>
      <c r="AH25" s="2" t="s">
        <v>70</v>
      </c>
      <c r="AI25" s="3">
        <v>46305</v>
      </c>
      <c r="AJ25" s="2" t="s">
        <v>47</v>
      </c>
      <c r="AK25" s="2" t="s">
        <v>48</v>
      </c>
      <c r="AL25" s="2" t="s">
        <v>49</v>
      </c>
      <c r="AM25" s="2" t="s">
        <v>50</v>
      </c>
    </row>
    <row r="26" spans="1:39" x14ac:dyDescent="0.2">
      <c r="A26" s="1">
        <v>0</v>
      </c>
      <c r="B26" s="2">
        <v>2.2400000000000002</v>
      </c>
      <c r="C26" s="2" t="s">
        <v>69</v>
      </c>
      <c r="D26" s="2" t="s">
        <v>44</v>
      </c>
      <c r="E26" s="2">
        <v>85.027726432532305</v>
      </c>
      <c r="F26" s="2">
        <v>1620</v>
      </c>
      <c r="G26" s="2">
        <v>84.599266631744399</v>
      </c>
      <c r="H26" s="2">
        <v>294</v>
      </c>
      <c r="I26" s="2" t="s">
        <v>99</v>
      </c>
      <c r="J26" s="2">
        <v>14.972273567467701</v>
      </c>
      <c r="K26" s="2">
        <v>65.095551131671002</v>
      </c>
      <c r="L26" s="2">
        <v>85.027726432532305</v>
      </c>
      <c r="M26" s="2">
        <v>79.293300905240301</v>
      </c>
      <c r="N26" s="2">
        <v>50.8521153253294</v>
      </c>
      <c r="O26" s="2">
        <v>85.027726432532305</v>
      </c>
      <c r="P26" s="2">
        <v>85.027726432532305</v>
      </c>
      <c r="Q26" s="2">
        <v>48.010855541219897</v>
      </c>
      <c r="R26" s="2">
        <v>85.027726432532305</v>
      </c>
      <c r="S26" s="2">
        <v>78.808243415306407</v>
      </c>
      <c r="T26" s="2">
        <v>15.400733368255599</v>
      </c>
      <c r="U26" s="2">
        <v>51.952918647649199</v>
      </c>
      <c r="V26" s="2">
        <v>84.599266631744399</v>
      </c>
      <c r="W26" s="2">
        <v>75.276708017213195</v>
      </c>
      <c r="X26" s="2">
        <v>50.128169014084499</v>
      </c>
      <c r="Y26" s="2">
        <v>84.599266631744399</v>
      </c>
      <c r="Z26" s="2">
        <v>84.599266631744399</v>
      </c>
      <c r="AA26" s="2">
        <v>46.821489482660603</v>
      </c>
      <c r="AB26" s="2">
        <v>84.599266631744399</v>
      </c>
      <c r="AC26" s="2">
        <v>78.306883613749093</v>
      </c>
      <c r="AD26" s="2">
        <v>62229.686205944599</v>
      </c>
      <c r="AE26" s="2">
        <v>32.651166000000003</v>
      </c>
      <c r="AF26" s="2">
        <v>13480</v>
      </c>
      <c r="AG26" s="2">
        <v>14120</v>
      </c>
      <c r="AH26" s="2" t="s">
        <v>71</v>
      </c>
      <c r="AI26" s="3">
        <v>46305</v>
      </c>
      <c r="AJ26" s="2" t="s">
        <v>47</v>
      </c>
      <c r="AK26" s="2" t="s">
        <v>48</v>
      </c>
      <c r="AL26" s="2" t="s">
        <v>49</v>
      </c>
      <c r="AM26" s="2" t="s">
        <v>50</v>
      </c>
    </row>
    <row r="27" spans="1:39" x14ac:dyDescent="0.2">
      <c r="A27" s="1">
        <v>0</v>
      </c>
      <c r="B27" s="2">
        <v>2.2999999999999998</v>
      </c>
      <c r="C27" s="2" t="s">
        <v>45</v>
      </c>
      <c r="D27" s="2" t="s">
        <v>44</v>
      </c>
      <c r="E27" s="2">
        <v>85.166358595194097</v>
      </c>
      <c r="F27" s="2">
        <v>1605</v>
      </c>
      <c r="G27" s="2">
        <v>85.123101100052395</v>
      </c>
      <c r="H27" s="2">
        <v>284</v>
      </c>
      <c r="I27" s="2" t="s">
        <v>100</v>
      </c>
      <c r="J27" s="2">
        <v>14.833641404805901</v>
      </c>
      <c r="K27" s="2">
        <v>68.671997819432306</v>
      </c>
      <c r="L27" s="2">
        <v>85.166358595194097</v>
      </c>
      <c r="M27" s="2">
        <v>81.148712064870097</v>
      </c>
      <c r="N27" s="2">
        <v>55.1042975899692</v>
      </c>
      <c r="O27" s="2">
        <v>85.166358595194097</v>
      </c>
      <c r="P27" s="2">
        <v>85.166358595194097</v>
      </c>
      <c r="Q27" s="2">
        <v>55.808795536037202</v>
      </c>
      <c r="R27" s="2">
        <v>85.166358595194097</v>
      </c>
      <c r="S27" s="2">
        <v>81.095114732925197</v>
      </c>
      <c r="T27" s="2">
        <v>14.8768988999476</v>
      </c>
      <c r="U27" s="2" t="s">
        <v>52</v>
      </c>
      <c r="V27" s="2">
        <v>85.123101100052395</v>
      </c>
      <c r="W27" s="2" t="s">
        <v>52</v>
      </c>
      <c r="X27" s="2">
        <v>50</v>
      </c>
      <c r="Y27" s="2">
        <v>85.123101100052395</v>
      </c>
      <c r="Z27" s="2">
        <v>85.123101100052395</v>
      </c>
      <c r="AA27" s="2">
        <v>45.9818902093945</v>
      </c>
      <c r="AB27" s="2">
        <v>85.123101100052395</v>
      </c>
      <c r="AC27" s="2">
        <v>78.282421781315904</v>
      </c>
      <c r="AD27" s="2">
        <v>755956.12380353501</v>
      </c>
      <c r="AE27" s="2">
        <v>1.4101220000000001</v>
      </c>
      <c r="AF27" s="2">
        <v>5063</v>
      </c>
      <c r="AG27" s="2">
        <v>3374</v>
      </c>
      <c r="AH27" s="2" t="s">
        <v>72</v>
      </c>
      <c r="AI27" s="3">
        <v>46305</v>
      </c>
      <c r="AJ27" s="2" t="s">
        <v>47</v>
      </c>
      <c r="AK27" s="2" t="s">
        <v>48</v>
      </c>
      <c r="AL27" s="2" t="s">
        <v>49</v>
      </c>
      <c r="AM27" s="2" t="s">
        <v>50</v>
      </c>
    </row>
    <row r="28" spans="1:39" x14ac:dyDescent="0.2">
      <c r="A28" s="1">
        <v>0</v>
      </c>
      <c r="B28" s="2">
        <v>2.4</v>
      </c>
      <c r="C28" s="2" t="s">
        <v>73</v>
      </c>
      <c r="D28" s="2" t="s">
        <v>44</v>
      </c>
      <c r="E28" s="2">
        <v>85.646950092421406</v>
      </c>
      <c r="F28" s="2">
        <v>1553</v>
      </c>
      <c r="G28" s="2">
        <v>86.013619696175994</v>
      </c>
      <c r="H28" s="2">
        <v>267</v>
      </c>
      <c r="I28" s="2" t="s">
        <v>73</v>
      </c>
      <c r="J28" s="2">
        <v>14.353049907578599</v>
      </c>
      <c r="K28" s="2">
        <v>72.138528644225701</v>
      </c>
      <c r="L28" s="2">
        <v>85.646950092421406</v>
      </c>
      <c r="M28" s="2">
        <v>82.356609636109297</v>
      </c>
      <c r="N28" s="2">
        <v>56.051930784106197</v>
      </c>
      <c r="O28" s="2">
        <v>85.646950092421406</v>
      </c>
      <c r="P28" s="2">
        <v>85.646950092421406</v>
      </c>
      <c r="Q28" s="2">
        <v>57.240535493748098</v>
      </c>
      <c r="R28" s="2">
        <v>85.646950092421406</v>
      </c>
      <c r="S28" s="2">
        <v>81.707609458088996</v>
      </c>
      <c r="T28" s="2">
        <v>13.986380303823999</v>
      </c>
      <c r="U28" s="2">
        <v>75.787673828199004</v>
      </c>
      <c r="V28" s="2">
        <v>86.013619696175994</v>
      </c>
      <c r="W28" s="2">
        <v>83.427224473857606</v>
      </c>
      <c r="X28" s="2">
        <v>55.8986998916576</v>
      </c>
      <c r="Y28" s="2">
        <v>86.013619696175994</v>
      </c>
      <c r="Z28" s="2">
        <v>86.013619696175994</v>
      </c>
      <c r="AA28" s="2">
        <v>57.010923057848899</v>
      </c>
      <c r="AB28" s="2">
        <v>86.013619696175994</v>
      </c>
      <c r="AC28" s="2">
        <v>81.814887466010006</v>
      </c>
      <c r="AD28" s="2">
        <v>574127.13573172002</v>
      </c>
      <c r="AE28" s="2">
        <v>2.860433</v>
      </c>
      <c r="AF28" s="2">
        <v>2486822</v>
      </c>
      <c r="AG28" s="2">
        <v>6001</v>
      </c>
      <c r="AH28" s="2" t="s">
        <v>47</v>
      </c>
      <c r="AI28" s="3">
        <v>46305</v>
      </c>
      <c r="AJ28" s="2" t="s">
        <v>47</v>
      </c>
      <c r="AK28" s="2" t="s">
        <v>48</v>
      </c>
      <c r="AL28" s="2" t="s">
        <v>49</v>
      </c>
      <c r="AM28" s="2" t="s">
        <v>50</v>
      </c>
    </row>
    <row r="29" spans="1:39" x14ac:dyDescent="0.2">
      <c r="A29" s="1">
        <v>0</v>
      </c>
      <c r="B29" s="2">
        <v>2.5</v>
      </c>
      <c r="C29" s="2" t="s">
        <v>74</v>
      </c>
      <c r="D29" s="2" t="s">
        <v>44</v>
      </c>
      <c r="E29" s="2">
        <v>85.101663585951897</v>
      </c>
      <c r="F29" s="2">
        <v>1612</v>
      </c>
      <c r="G29" s="2">
        <v>85.123101100052395</v>
      </c>
      <c r="H29" s="2">
        <v>284</v>
      </c>
      <c r="I29" s="2" t="s">
        <v>74</v>
      </c>
      <c r="J29" s="2">
        <v>14.898336414048099</v>
      </c>
      <c r="K29" s="2" t="s">
        <v>52</v>
      </c>
      <c r="L29" s="2">
        <v>85.101663585951897</v>
      </c>
      <c r="M29" s="2" t="s">
        <v>52</v>
      </c>
      <c r="N29" s="2">
        <v>50</v>
      </c>
      <c r="O29" s="2">
        <v>85.101663585951897</v>
      </c>
      <c r="P29" s="2">
        <v>85.101663585951897</v>
      </c>
      <c r="Q29" s="2">
        <v>45.975634112242901</v>
      </c>
      <c r="R29" s="2">
        <v>85.101663585951897</v>
      </c>
      <c r="S29" s="2">
        <v>78.252058947418206</v>
      </c>
      <c r="T29" s="2">
        <v>14.8768988999476</v>
      </c>
      <c r="U29" s="2" t="s">
        <v>52</v>
      </c>
      <c r="V29" s="2">
        <v>85.123101100052395</v>
      </c>
      <c r="W29" s="2" t="s">
        <v>52</v>
      </c>
      <c r="X29" s="2">
        <v>50</v>
      </c>
      <c r="Y29" s="2">
        <v>85.123101100052395</v>
      </c>
      <c r="Z29" s="2">
        <v>85.123101100052395</v>
      </c>
      <c r="AA29" s="2">
        <v>45.9818902093945</v>
      </c>
      <c r="AB29" s="2">
        <v>85.123101100052395</v>
      </c>
      <c r="AC29" s="2">
        <v>78.282421781315904</v>
      </c>
      <c r="AD29" s="2">
        <v>701458.67098865495</v>
      </c>
      <c r="AE29" s="2">
        <v>1.0630630000000001</v>
      </c>
      <c r="AF29" s="2">
        <v>11632</v>
      </c>
      <c r="AG29" s="2">
        <v>3496</v>
      </c>
      <c r="AH29" s="2" t="s">
        <v>75</v>
      </c>
      <c r="AI29" s="3">
        <v>46305</v>
      </c>
      <c r="AJ29" s="2" t="s">
        <v>47</v>
      </c>
      <c r="AK29" s="2" t="s">
        <v>48</v>
      </c>
      <c r="AL29" s="2" t="s">
        <v>49</v>
      </c>
      <c r="AM29" s="2" t="s">
        <v>50</v>
      </c>
    </row>
    <row r="30" spans="1:39" x14ac:dyDescent="0.2">
      <c r="A30" s="1">
        <v>0</v>
      </c>
      <c r="B30" s="2">
        <v>2.6</v>
      </c>
      <c r="C30" s="2" t="s">
        <v>76</v>
      </c>
      <c r="D30" s="2" t="s">
        <v>44</v>
      </c>
      <c r="E30" s="2">
        <v>85.101663585951897</v>
      </c>
      <c r="F30" s="2">
        <v>1612</v>
      </c>
      <c r="G30" s="2">
        <v>85.123101100052395</v>
      </c>
      <c r="H30" s="2">
        <v>284</v>
      </c>
      <c r="I30" s="2" t="s">
        <v>76</v>
      </c>
      <c r="J30" s="2">
        <v>14.898336414048099</v>
      </c>
      <c r="K30" s="2" t="s">
        <v>52</v>
      </c>
      <c r="L30" s="2">
        <v>85.101663585951897</v>
      </c>
      <c r="M30" s="2" t="s">
        <v>52</v>
      </c>
      <c r="N30" s="2">
        <v>50</v>
      </c>
      <c r="O30" s="2">
        <v>85.101663585951897</v>
      </c>
      <c r="P30" s="2">
        <v>85.101663585951897</v>
      </c>
      <c r="Q30" s="2">
        <v>45.975634112242901</v>
      </c>
      <c r="R30" s="2">
        <v>85.101663585951897</v>
      </c>
      <c r="S30" s="2">
        <v>78.252058947418206</v>
      </c>
      <c r="T30" s="2">
        <v>14.8768988999476</v>
      </c>
      <c r="U30" s="2" t="s">
        <v>52</v>
      </c>
      <c r="V30" s="2">
        <v>85.123101100052395</v>
      </c>
      <c r="W30" s="2" t="s">
        <v>52</v>
      </c>
      <c r="X30" s="2">
        <v>50</v>
      </c>
      <c r="Y30" s="2">
        <v>85.123101100052395</v>
      </c>
      <c r="Z30" s="2">
        <v>85.123101100052395</v>
      </c>
      <c r="AA30" s="2">
        <v>45.9818902093945</v>
      </c>
      <c r="AB30" s="2">
        <v>85.123101100052395</v>
      </c>
      <c r="AC30" s="2">
        <v>78.282421781315904</v>
      </c>
      <c r="AD30" s="2">
        <v>718173.37050312001</v>
      </c>
      <c r="AE30" s="2">
        <v>0.73260700000000001</v>
      </c>
      <c r="AF30" s="2">
        <v>11590</v>
      </c>
      <c r="AG30" s="2">
        <v>3496</v>
      </c>
      <c r="AH30" s="2" t="s">
        <v>77</v>
      </c>
      <c r="AI30" s="3">
        <v>46305</v>
      </c>
      <c r="AJ30" s="2" t="s">
        <v>47</v>
      </c>
      <c r="AK30" s="2" t="s">
        <v>48</v>
      </c>
      <c r="AL30" s="2" t="s">
        <v>49</v>
      </c>
      <c r="AM30" s="2" t="s">
        <v>50</v>
      </c>
    </row>
    <row r="31" spans="1:39" x14ac:dyDescent="0.2">
      <c r="A31" s="1">
        <v>0</v>
      </c>
      <c r="B31" s="2">
        <v>2.7</v>
      </c>
      <c r="C31" s="2" t="s">
        <v>78</v>
      </c>
      <c r="D31" s="2" t="s">
        <v>44</v>
      </c>
      <c r="E31" s="2">
        <v>83.576709796672802</v>
      </c>
      <c r="F31" s="2">
        <v>1777</v>
      </c>
      <c r="G31" s="2">
        <v>84.284965950759599</v>
      </c>
      <c r="H31" s="2">
        <v>300</v>
      </c>
      <c r="I31" s="2" t="s">
        <v>101</v>
      </c>
      <c r="J31" s="2">
        <v>16.423290203327198</v>
      </c>
      <c r="K31" s="2">
        <v>64.847172511912206</v>
      </c>
      <c r="L31" s="2">
        <v>83.576709796672802</v>
      </c>
      <c r="M31" s="2">
        <v>81.0104950766749</v>
      </c>
      <c r="N31" s="2">
        <v>59.901884325422103</v>
      </c>
      <c r="O31" s="2">
        <v>83.576709796672802</v>
      </c>
      <c r="P31" s="2">
        <v>83.576709796672802</v>
      </c>
      <c r="Q31" s="2">
        <v>61.429080768826502</v>
      </c>
      <c r="R31" s="2">
        <v>83.576709796672802</v>
      </c>
      <c r="S31" s="2">
        <v>81.947850142594106</v>
      </c>
      <c r="T31" s="2">
        <v>15.715034049240399</v>
      </c>
      <c r="U31" s="2">
        <v>66.594951233505498</v>
      </c>
      <c r="V31" s="2">
        <v>84.284965950759599</v>
      </c>
      <c r="W31" s="2">
        <v>81.637633374176204</v>
      </c>
      <c r="X31" s="2">
        <v>60.404225352112697</v>
      </c>
      <c r="Y31" s="2">
        <v>84.284965950759599</v>
      </c>
      <c r="Z31" s="2">
        <v>84.284965950759599</v>
      </c>
      <c r="AA31" s="2">
        <v>62.2129849564529</v>
      </c>
      <c r="AB31" s="2">
        <v>84.284965950759599</v>
      </c>
      <c r="AC31" s="2">
        <v>82.499843430315295</v>
      </c>
      <c r="AD31" s="2">
        <v>519418.17483558197</v>
      </c>
      <c r="AE31" s="2">
        <v>1.078792</v>
      </c>
      <c r="AF31" s="2">
        <v>8976</v>
      </c>
      <c r="AG31" s="2">
        <v>7327</v>
      </c>
      <c r="AH31" s="2" t="s">
        <v>79</v>
      </c>
      <c r="AI31" s="3">
        <v>46305</v>
      </c>
      <c r="AJ31" s="2" t="s">
        <v>47</v>
      </c>
      <c r="AK31" s="2" t="s">
        <v>48</v>
      </c>
      <c r="AL31" s="2" t="s">
        <v>49</v>
      </c>
      <c r="AM31" s="2" t="s">
        <v>50</v>
      </c>
    </row>
    <row r="32" spans="1:39" x14ac:dyDescent="0.2">
      <c r="A32" s="1">
        <v>0</v>
      </c>
      <c r="B32" s="2">
        <v>2.8</v>
      </c>
      <c r="C32" s="2" t="s">
        <v>78</v>
      </c>
      <c r="D32" s="2" t="s">
        <v>44</v>
      </c>
      <c r="E32" s="2">
        <v>83.8724584103512</v>
      </c>
      <c r="F32" s="2">
        <v>1745</v>
      </c>
      <c r="G32" s="2">
        <v>84.389732844421204</v>
      </c>
      <c r="H32" s="2">
        <v>298</v>
      </c>
      <c r="I32" s="2" t="s">
        <v>102</v>
      </c>
      <c r="J32" s="2">
        <v>16.1275415896488</v>
      </c>
      <c r="K32" s="2">
        <v>64.997888938643797</v>
      </c>
      <c r="L32" s="2">
        <v>83.8724584103512</v>
      </c>
      <c r="M32" s="2">
        <v>80.826022048280507</v>
      </c>
      <c r="N32" s="2">
        <v>58.847455443858301</v>
      </c>
      <c r="O32" s="2">
        <v>83.8724584103512</v>
      </c>
      <c r="P32" s="2">
        <v>83.8724584103512</v>
      </c>
      <c r="Q32" s="2">
        <v>60.445155978705202</v>
      </c>
      <c r="R32" s="2">
        <v>83.8724584103512</v>
      </c>
      <c r="S32" s="2">
        <v>81.815852420494906</v>
      </c>
      <c r="T32" s="2">
        <v>15.6102671555788</v>
      </c>
      <c r="U32" s="2">
        <v>66.253533069530803</v>
      </c>
      <c r="V32" s="2">
        <v>84.389732844421204</v>
      </c>
      <c r="W32" s="2">
        <v>81.183332884219595</v>
      </c>
      <c r="X32" s="2">
        <v>58.722318526543901</v>
      </c>
      <c r="Y32" s="2">
        <v>84.389732844421204</v>
      </c>
      <c r="Z32" s="2">
        <v>84.389732844421204</v>
      </c>
      <c r="AA32" s="2">
        <v>60.468390389255198</v>
      </c>
      <c r="AB32" s="2">
        <v>84.389732844421204</v>
      </c>
      <c r="AC32" s="2">
        <v>82.070087515435404</v>
      </c>
      <c r="AD32" s="2">
        <v>1062.70844112654</v>
      </c>
      <c r="AE32" s="2">
        <v>48.834110000000003</v>
      </c>
      <c r="AF32" s="2">
        <v>3155968</v>
      </c>
      <c r="AG32" s="2">
        <v>1565693</v>
      </c>
      <c r="AH32" s="2" t="s">
        <v>80</v>
      </c>
      <c r="AI32" s="3">
        <v>46305</v>
      </c>
      <c r="AJ32" s="2" t="s">
        <v>47</v>
      </c>
      <c r="AK32" s="2" t="s">
        <v>48</v>
      </c>
      <c r="AL32" s="2" t="s">
        <v>49</v>
      </c>
      <c r="AM32" s="2" t="s">
        <v>50</v>
      </c>
    </row>
    <row r="33" spans="1:39" x14ac:dyDescent="0.2">
      <c r="A33" s="1">
        <v>0</v>
      </c>
      <c r="B33" s="2">
        <v>2.9</v>
      </c>
      <c r="C33" s="2" t="s">
        <v>51</v>
      </c>
      <c r="D33" s="2" t="s">
        <v>44</v>
      </c>
      <c r="E33" s="2">
        <v>85.101663585951897</v>
      </c>
      <c r="F33" s="2">
        <v>1612</v>
      </c>
      <c r="G33" s="2">
        <v>85.123101100052395</v>
      </c>
      <c r="H33" s="2">
        <v>284</v>
      </c>
      <c r="I33" s="2" t="s">
        <v>103</v>
      </c>
      <c r="J33" s="2">
        <v>14.898336414048099</v>
      </c>
      <c r="K33" s="2" t="s">
        <v>52</v>
      </c>
      <c r="L33" s="2">
        <v>85.101663585951897</v>
      </c>
      <c r="M33" s="2" t="s">
        <v>52</v>
      </c>
      <c r="N33" s="2">
        <v>50</v>
      </c>
      <c r="O33" s="2">
        <v>85.101663585951897</v>
      </c>
      <c r="P33" s="2">
        <v>85.101663585951897</v>
      </c>
      <c r="Q33" s="2">
        <v>45.975634112242901</v>
      </c>
      <c r="R33" s="2">
        <v>85.101663585951897</v>
      </c>
      <c r="S33" s="2">
        <v>78.252058947418206</v>
      </c>
      <c r="T33" s="2">
        <v>14.8768988999476</v>
      </c>
      <c r="U33" s="2" t="s">
        <v>52</v>
      </c>
      <c r="V33" s="2">
        <v>85.123101100052395</v>
      </c>
      <c r="W33" s="2" t="s">
        <v>52</v>
      </c>
      <c r="X33" s="2">
        <v>50</v>
      </c>
      <c r="Y33" s="2">
        <v>85.123101100052395</v>
      </c>
      <c r="Z33" s="2">
        <v>85.123101100052395</v>
      </c>
      <c r="AA33" s="2">
        <v>45.9818902093945</v>
      </c>
      <c r="AB33" s="2">
        <v>85.123101100052395</v>
      </c>
      <c r="AC33" s="2">
        <v>78.282421781315904</v>
      </c>
      <c r="AD33" s="2">
        <v>83712.437718565299</v>
      </c>
      <c r="AE33" s="2">
        <v>9.5558730000000001</v>
      </c>
      <c r="AF33" s="2">
        <v>401739</v>
      </c>
      <c r="AG33" s="2">
        <v>399650</v>
      </c>
      <c r="AH33" s="2" t="s">
        <v>81</v>
      </c>
      <c r="AI33" s="3">
        <v>46305</v>
      </c>
      <c r="AJ33" s="2" t="s">
        <v>47</v>
      </c>
      <c r="AK33" s="2" t="s">
        <v>48</v>
      </c>
      <c r="AL33" s="2" t="s">
        <v>49</v>
      </c>
      <c r="AM33" s="2" t="s">
        <v>50</v>
      </c>
    </row>
  </sheetData>
  <sortState xmlns:xlrd2="http://schemas.microsoft.com/office/spreadsheetml/2017/richdata2" ref="A10:AM33">
    <sortCondition ref="B10:B33"/>
  </sortState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CF35-C865-AC43-BD1A-1B9670D4E5CE}">
  <dimension ref="A1:AM40"/>
  <sheetViews>
    <sheetView workbookViewId="0">
      <selection activeCell="G6" sqref="G6"/>
    </sheetView>
  </sheetViews>
  <sheetFormatPr baseColWidth="10" defaultColWidth="11" defaultRowHeight="16" x14ac:dyDescent="0.2"/>
  <cols>
    <col min="2" max="2" width="12.5" customWidth="1"/>
    <col min="3" max="3" width="25" customWidth="1"/>
  </cols>
  <sheetData>
    <row r="1" spans="1:39" x14ac:dyDescent="0.2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 x14ac:dyDescent="0.2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x14ac:dyDescent="0.2">
      <c r="A3" s="1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2">
      <c r="A4" s="1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x14ac:dyDescent="0.2">
      <c r="A5" s="1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x14ac:dyDescent="0.2">
      <c r="A6" s="1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x14ac:dyDescent="0.2">
      <c r="A9" s="1" t="s">
        <v>6</v>
      </c>
      <c r="B9" s="1" t="s">
        <v>7</v>
      </c>
      <c r="C9" s="52" t="s">
        <v>9</v>
      </c>
      <c r="D9" s="2" t="s">
        <v>8</v>
      </c>
      <c r="E9" s="2" t="s">
        <v>10</v>
      </c>
      <c r="F9" s="2" t="s">
        <v>11</v>
      </c>
      <c r="G9" s="2" t="s">
        <v>22</v>
      </c>
      <c r="H9" s="2" t="s">
        <v>23</v>
      </c>
      <c r="I9" s="2" t="s">
        <v>82</v>
      </c>
      <c r="J9" s="2" t="s">
        <v>12</v>
      </c>
      <c r="K9" s="2" t="s">
        <v>13</v>
      </c>
      <c r="L9" s="2" t="s">
        <v>14</v>
      </c>
      <c r="M9" s="2" t="s">
        <v>15</v>
      </c>
      <c r="N9" s="2" t="s">
        <v>16</v>
      </c>
      <c r="O9" s="2" t="s">
        <v>17</v>
      </c>
      <c r="P9" s="2" t="s">
        <v>18</v>
      </c>
      <c r="Q9" s="2" t="s">
        <v>19</v>
      </c>
      <c r="R9" s="2" t="s">
        <v>20</v>
      </c>
      <c r="S9" s="2" t="s">
        <v>21</v>
      </c>
      <c r="T9" s="2" t="s">
        <v>24</v>
      </c>
      <c r="U9" s="2" t="s">
        <v>25</v>
      </c>
      <c r="V9" s="2" t="s">
        <v>26</v>
      </c>
      <c r="W9" s="2" t="s">
        <v>27</v>
      </c>
      <c r="X9" s="2" t="s">
        <v>28</v>
      </c>
      <c r="Y9" s="2" t="s">
        <v>29</v>
      </c>
      <c r="Z9" s="2" t="s">
        <v>30</v>
      </c>
      <c r="AA9" s="2" t="s">
        <v>31</v>
      </c>
      <c r="AB9" s="2" t="s">
        <v>32</v>
      </c>
      <c r="AC9" s="2" t="s">
        <v>33</v>
      </c>
      <c r="AD9" s="2" t="s">
        <v>34</v>
      </c>
      <c r="AE9" s="2" t="s">
        <v>35</v>
      </c>
      <c r="AF9" s="2" t="s">
        <v>36</v>
      </c>
      <c r="AG9" s="2" t="s">
        <v>37</v>
      </c>
      <c r="AH9" s="2" t="s">
        <v>38</v>
      </c>
      <c r="AI9" s="2" t="s">
        <v>39</v>
      </c>
      <c r="AJ9" s="2" t="s">
        <v>40</v>
      </c>
      <c r="AK9" s="2" t="s">
        <v>41</v>
      </c>
      <c r="AL9" s="2" t="s">
        <v>42</v>
      </c>
      <c r="AM9" s="2" t="s">
        <v>43</v>
      </c>
    </row>
    <row r="10" spans="1:39" x14ac:dyDescent="0.2">
      <c r="A10" s="1">
        <v>0</v>
      </c>
      <c r="B10" s="51">
        <v>2.1</v>
      </c>
      <c r="C10" s="51" t="s">
        <v>45</v>
      </c>
      <c r="D10" s="2" t="s">
        <v>44</v>
      </c>
      <c r="E10">
        <f>MEDIAN('V1'!E10,'V2'!E10,'V3'!E10,'V4'!E10,'V5'!E10)</f>
        <v>85.036968576709796</v>
      </c>
      <c r="F10">
        <f>MEDIAN('V1'!F10,'V2'!F10,'V3'!F10,'V4'!F10,'V5'!F10)</f>
        <v>1619</v>
      </c>
      <c r="G10">
        <f>MEDIAN('V1'!G10,'V2'!G10,'V3'!G10,'V4'!G10,'V5'!G10)</f>
        <v>85.280251440544802</v>
      </c>
      <c r="H10">
        <f>MEDIAN('V1'!H10,'V2'!H10,'V3'!H10,'V4'!H10,'V5'!H10)</f>
        <v>269</v>
      </c>
      <c r="I10">
        <f>MEDIAN('V1'!I10,'V2'!I10,'V3'!I10,'V4'!I10,'V5'!I10)</f>
        <v>85.101663585951897</v>
      </c>
      <c r="J10">
        <f>MEDIAN('V1'!J10,'V2'!J10,'V3'!J10,'V4'!J10,'V5'!J10)</f>
        <v>15.147874306839199</v>
      </c>
      <c r="K10">
        <f>MEDIAN('V1'!K10,'V2'!K10,'V3'!K10,'V4'!K10,'V5'!K10)</f>
        <v>67.7136691649592</v>
      </c>
      <c r="L10">
        <f>MEDIAN('V1'!L10,'V2'!L10,'V3'!L10,'V4'!L10,'V5'!L10)</f>
        <v>85.036968576709796</v>
      </c>
      <c r="M10">
        <f>MEDIAN('V1'!M10,'V2'!M10,'V3'!M10,'V4'!M10,'V5'!M10)</f>
        <v>81.779061375252297</v>
      </c>
      <c r="N10">
        <f>MEDIAN('V1'!N10,'V2'!N10,'V3'!N10,'V4'!N10,'V5'!N10)</f>
        <v>58.610499985986898</v>
      </c>
      <c r="O10">
        <f>MEDIAN('V1'!O10,'V2'!O10,'V3'!O10,'V4'!O10,'V5'!O10)</f>
        <v>85.036968576709796</v>
      </c>
      <c r="P10">
        <f>MEDIAN('V1'!P10,'V2'!P10,'V3'!P10,'V4'!P10,'V5'!P10)</f>
        <v>84.852125693160801</v>
      </c>
      <c r="Q10">
        <f>MEDIAN('V1'!Q10,'V2'!Q10,'V3'!Q10,'V4'!Q10,'V5'!Q10)</f>
        <v>60.543125035545899</v>
      </c>
      <c r="R10">
        <f>MEDIAN('V1'!R10,'V2'!R10,'V3'!R10,'V4'!R10,'V5'!R10)</f>
        <v>85.036968576709796</v>
      </c>
      <c r="S10">
        <f>MEDIAN('V1'!S10,'V2'!S10,'V3'!S10,'V4'!S10,'V5'!S10)</f>
        <v>82.240188077720504</v>
      </c>
      <c r="T10">
        <f>MEDIAN('V1'!T10,'V2'!T10,'V3'!T10,'V4'!T10,'V5'!T10)</f>
        <v>14.7197485594552</v>
      </c>
      <c r="U10">
        <f>MEDIAN('V1'!U10,'V2'!U10,'V3'!U10,'V4'!U10,'V5'!U10)</f>
        <v>71.803893971381697</v>
      </c>
      <c r="V10">
        <f>MEDIAN('V1'!V10,'V2'!V10,'V3'!V10,'V4'!V10,'V5'!V10)</f>
        <v>85.280251440544802</v>
      </c>
      <c r="W10">
        <f>MEDIAN('V1'!W10,'V2'!W10,'V3'!W10,'V4'!W10,'V5'!W10)</f>
        <v>82.342856822598407</v>
      </c>
      <c r="X10">
        <f>MEDIAN('V1'!X10,'V2'!X10,'V3'!X10,'V4'!X10,'V5'!X10)</f>
        <v>62.084507042253499</v>
      </c>
      <c r="Y10">
        <f>MEDIAN('V1'!Y10,'V2'!Y10,'V3'!Y10,'V4'!Y10,'V5'!Y10)</f>
        <v>85.280251440544802</v>
      </c>
      <c r="Z10">
        <f>MEDIAN('V1'!Z10,'V2'!Z10,'V3'!Z10,'V4'!Z10,'V5'!Z10)</f>
        <v>85.280251440544802</v>
      </c>
      <c r="AA10">
        <f>MEDIAN('V1'!AA10,'V2'!AA10,'V3'!AA10,'V4'!AA10,'V5'!AA10)</f>
        <v>64.679296311046102</v>
      </c>
      <c r="AB10">
        <f>MEDIAN('V1'!AB10,'V2'!AB10,'V3'!AB10,'V4'!AB10,'V5'!AB10)</f>
        <v>85.280251440544802</v>
      </c>
      <c r="AC10">
        <f>MEDIAN('V1'!AC10,'V2'!AC10,'V3'!AC10,'V4'!AC10,'V5'!AC10)</f>
        <v>83.914995807707598</v>
      </c>
      <c r="AD10">
        <f>MEDIAN('V1'!AD10,'V2'!AD10,'V3'!AD10,'V4'!AD10,'V5'!AD10)</f>
        <v>720948.827292111</v>
      </c>
      <c r="AE10">
        <f>MEDIAN('V1'!AE10,'V2'!AE10,'V3'!AE10,'V4'!AE10,'V5'!AE10)</f>
        <v>3.8117839999999998</v>
      </c>
      <c r="AF10">
        <f>MEDIAN('V1'!AF10,'V2'!AF10,'V3'!AF10,'V4'!AF10,'V5'!AF10)</f>
        <v>31251</v>
      </c>
      <c r="AG10">
        <f>MEDIAN('V1'!AG10,'V2'!AG10,'V3'!AG10,'V4'!AG10,'V5'!AG10)</f>
        <v>21442</v>
      </c>
      <c r="AH10">
        <f>MEDIAN('V1'!AH10,'V2'!AH10,'V3'!AH10,'V4'!AH10,'V5'!AH10)</f>
        <v>46305</v>
      </c>
      <c r="AI10">
        <f>MEDIAN('V1'!AI10,'V2'!AI10,'V3'!AI10,'V4'!AI10,'V5'!AI10)</f>
        <v>46305</v>
      </c>
      <c r="AJ10" t="e">
        <f>MEDIAN('V1'!AJ10,'V2'!AJ10,'V3'!AJ10,'V4'!AJ10,'V5'!AJ10)</f>
        <v>#NUM!</v>
      </c>
      <c r="AK10" t="e">
        <f>MEDIAN('V1'!AK10,'V2'!AK10,'V3'!AK10,'V4'!AK10,'V5'!AK10)</f>
        <v>#NUM!</v>
      </c>
      <c r="AL10" t="e">
        <f>MEDIAN('V1'!AL10,'V2'!AL10,'V3'!AL10,'V4'!AL10,'V5'!AL10)</f>
        <v>#NUM!</v>
      </c>
      <c r="AM10" t="e">
        <f>MEDIAN('V1'!AM10,'V2'!AM10,'V3'!AM10,'V4'!AM10,'V5'!AM10)</f>
        <v>#NUM!</v>
      </c>
    </row>
    <row r="11" spans="1:39" x14ac:dyDescent="0.2">
      <c r="A11" s="1">
        <v>0</v>
      </c>
      <c r="B11" s="51">
        <v>2.1</v>
      </c>
      <c r="C11" s="51" t="s">
        <v>51</v>
      </c>
      <c r="D11" s="2" t="s">
        <v>44</v>
      </c>
      <c r="E11">
        <f>MEDIAN('V1'!E19,'V2'!F19,'V3'!F19,'V4'!F19,'V5'!F19)</f>
        <v>1553</v>
      </c>
      <c r="F11">
        <f>MEDIAN('V1'!F19,'V2'!F19,'V3'!F19,'V4'!F19,'V5'!F19)</f>
        <v>1559</v>
      </c>
      <c r="G11">
        <f>MEDIAN('V1'!G19,'V2'!G19,'V3'!G19,'V4'!G19,'V5'!G19)</f>
        <v>86.013619696175994</v>
      </c>
      <c r="H11">
        <f>MEDIAN('V1'!H19,'V2'!H19,'V3'!H19,'V4'!H19,'V5'!H19)</f>
        <v>261</v>
      </c>
      <c r="I11">
        <f>MEDIAN('V1'!I19,'V2'!I19,'V3'!I19,'V4'!I19,'V5'!I19)</f>
        <v>85.443622920517598</v>
      </c>
      <c r="J11">
        <f>MEDIAN('V1'!J19,'V2'!J19,'V3'!J19,'V4'!J19,'V5'!J19)</f>
        <v>14.4085027726432</v>
      </c>
      <c r="K11">
        <f>MEDIAN('V1'!K19,'V2'!K19,'V3'!K19,'V4'!K19,'V5'!K19)</f>
        <v>71.331511839708597</v>
      </c>
      <c r="L11">
        <f>MEDIAN('V1'!L19,'V2'!L19,'V3'!L19,'V4'!L19,'V5'!L19)</f>
        <v>85.591497227356797</v>
      </c>
      <c r="M11">
        <f>MEDIAN('V1'!M19,'V2'!M19,'V3'!M19,'V4'!M19,'V5'!M19)</f>
        <v>82.372752634889807</v>
      </c>
      <c r="N11">
        <f>MEDIAN('V1'!N19,'V2'!N19,'V3'!N19,'V4'!N19,'V5'!N19)</f>
        <v>56.589264271223897</v>
      </c>
      <c r="O11">
        <f>MEDIAN('V1'!O19,'V2'!O19,'V3'!O19,'V4'!O19,'V5'!O19)</f>
        <v>85.591497227356797</v>
      </c>
      <c r="P11">
        <f>MEDIAN('V1'!P19,'V2'!P19,'V3'!P19,'V4'!P19,'V5'!P19)</f>
        <v>85.591497227356797</v>
      </c>
      <c r="Q11">
        <f>MEDIAN('V1'!Q19,'V2'!Q19,'V3'!Q19,'V4'!Q19,'V5'!Q19)</f>
        <v>58.029827205163997</v>
      </c>
      <c r="R11">
        <f>MEDIAN('V1'!R19,'V2'!R19,'V3'!R19,'V4'!R19,'V5'!R19)</f>
        <v>85.646950092421406</v>
      </c>
      <c r="S11">
        <f>MEDIAN('V1'!S19,'V2'!S19,'V3'!S19,'V4'!S19,'V5'!S19)</f>
        <v>81.930894249895402</v>
      </c>
      <c r="T11">
        <f>MEDIAN('V1'!T19,'V2'!T19,'V3'!T19,'V4'!T19,'V5'!T19)</f>
        <v>13.986380303823999</v>
      </c>
      <c r="U11">
        <f>MEDIAN('V1'!U19,'V2'!U19,'V3'!U19,'V4'!U19,'V5'!U19)</f>
        <v>76.259905488913105</v>
      </c>
      <c r="V11">
        <f>MEDIAN('V1'!V19,'V2'!V19,'V3'!V19,'V4'!V19,'V5'!V19)</f>
        <v>86.013619696175994</v>
      </c>
      <c r="W11">
        <f>MEDIAN('V1'!W19,'V2'!W19,'V3'!W19,'V4'!W19,'V5'!W19)</f>
        <v>83.2274929305147</v>
      </c>
      <c r="X11">
        <f>MEDIAN('V1'!X19,'V2'!X19,'V3'!X19,'V4'!X19,'V5'!X19)</f>
        <v>57.826760563380297</v>
      </c>
      <c r="Y11">
        <f>MEDIAN('V1'!Y19,'V2'!Y19,'V3'!Y19,'V4'!Y19,'V5'!Y19)</f>
        <v>86.013619696175994</v>
      </c>
      <c r="Z11">
        <f>MEDIAN('V1'!Z19,'V2'!Z19,'V3'!Z19,'V4'!Z19,'V5'!Z19)</f>
        <v>86.013619696175994</v>
      </c>
      <c r="AA11">
        <f>MEDIAN('V1'!AA19,'V2'!AA19,'V3'!AA19,'V4'!AA19,'V5'!AA19)</f>
        <v>59.876258374061102</v>
      </c>
      <c r="AB11">
        <f>MEDIAN('V1'!AB19,'V2'!AB19,'V3'!AB19,'V4'!AB19,'V5'!AB19)</f>
        <v>86.013619696175994</v>
      </c>
      <c r="AC11">
        <f>MEDIAN('V1'!AC19,'V2'!AC19,'V3'!AC19,'V4'!AC19,'V5'!AC19)</f>
        <v>82.761212403839593</v>
      </c>
      <c r="AD11">
        <f>MEDIAN('V1'!AD19,'V2'!AD19,'V3'!AD19,'V4'!AD19,'V5'!AD19)</f>
        <v>238110.957065205</v>
      </c>
      <c r="AE11">
        <f>MEDIAN('V1'!AE19,'V2'!AE19,'V3'!AE19,'V4'!AE19,'V5'!AE19)</f>
        <v>31.290209000000001</v>
      </c>
      <c r="AF11">
        <f>MEDIAN('V1'!AF19,'V2'!AF19,'V3'!AF19,'V4'!AF19,'V5'!AF19)</f>
        <v>8084</v>
      </c>
      <c r="AG11">
        <f>MEDIAN('V1'!AG19,'V2'!AG19,'V3'!AG19,'V4'!AG19,'V5'!AG19)</f>
        <v>5630</v>
      </c>
      <c r="AH11">
        <f>MEDIAN('V1'!AH19,'V2'!AH19,'V3'!AH19,'V4'!AH19,'V5'!AH19)</f>
        <v>46305</v>
      </c>
      <c r="AI11">
        <f>MEDIAN('V1'!AI19,'V2'!AI19,'V3'!AI19,'V4'!AI19,'V5'!AI19)</f>
        <v>46305</v>
      </c>
      <c r="AJ11" t="e">
        <f>MEDIAN('V1'!AJ19,'V2'!AJ19,'V3'!AJ19,'V4'!AJ19,'V5'!AJ19)</f>
        <v>#NUM!</v>
      </c>
      <c r="AK11" t="e">
        <f>MEDIAN('V1'!AK19,'V2'!AK19,'V3'!AK19,'V4'!AK19,'V5'!AK19)</f>
        <v>#NUM!</v>
      </c>
      <c r="AL11" t="e">
        <f>MEDIAN('V1'!AL19,'V2'!AL19,'V3'!AL19,'V4'!AL19,'V5'!AL19)</f>
        <v>#NUM!</v>
      </c>
      <c r="AM11" t="e">
        <f>MEDIAN('V1'!AM19,'V2'!AM19,'V3'!AM19,'V4'!AM19,'V5'!AM19)</f>
        <v>#NUM!</v>
      </c>
    </row>
    <row r="12" spans="1:39" x14ac:dyDescent="0.2">
      <c r="A12" s="1">
        <v>0</v>
      </c>
      <c r="B12" s="51">
        <v>2.11</v>
      </c>
      <c r="C12" s="51" t="s">
        <v>51</v>
      </c>
      <c r="D12" s="2" t="s">
        <v>44</v>
      </c>
      <c r="E12">
        <f>MEDIAN('V1'!E20,'V2'!F20,'V3'!F20,'V4'!F20,'V5'!F20)</f>
        <v>1667</v>
      </c>
      <c r="F12">
        <f>MEDIAN('V1'!F20,'V2'!F20,'V3'!F20,'V4'!F20,'V5'!F20)</f>
        <v>1667</v>
      </c>
      <c r="G12">
        <f>MEDIAN('V1'!G20,'V2'!G20,'V3'!G20,'V4'!G20,'V5'!G20)</f>
        <v>85.437401781037195</v>
      </c>
      <c r="H12">
        <f>MEDIAN('V1'!H20,'V2'!H20,'V3'!H20,'V4'!H20,'V5'!H20)</f>
        <v>278</v>
      </c>
      <c r="I12">
        <f>MEDIAN('V1'!I20,'V2'!I20,'V3'!I20,'V4'!I20,'V5'!I20)</f>
        <v>84.7874306839187</v>
      </c>
      <c r="J12">
        <f>MEDIAN('V1'!J20,'V2'!J20,'V3'!J20,'V4'!J20,'V5'!J20)</f>
        <v>15.4066543438078</v>
      </c>
      <c r="K12">
        <f>MEDIAN('V1'!K20,'V2'!K20,'V3'!K20,'V4'!K20,'V5'!K20)</f>
        <v>66.516755438322306</v>
      </c>
      <c r="L12">
        <f>MEDIAN('V1'!L20,'V2'!L20,'V3'!L20,'V4'!L20,'V5'!L20)</f>
        <v>84.593345656192199</v>
      </c>
      <c r="M12">
        <f>MEDIAN('V1'!M20,'V2'!M20,'V3'!M20,'V4'!M20,'V5'!M20)</f>
        <v>81.013955117996204</v>
      </c>
      <c r="N12">
        <f>MEDIAN('V1'!N20,'V2'!N20,'V3'!N20,'V4'!N20,'V5'!N20)</f>
        <v>57.607825108385597</v>
      </c>
      <c r="O12">
        <f>MEDIAN('V1'!O20,'V2'!O20,'V3'!O20,'V4'!O20,'V5'!O20)</f>
        <v>84.593345656192199</v>
      </c>
      <c r="P12">
        <f>MEDIAN('V1'!P20,'V2'!P20,'V3'!P20,'V4'!P20,'V5'!P20)</f>
        <v>84.593345656192199</v>
      </c>
      <c r="Q12">
        <f>MEDIAN('V1'!Q20,'V2'!Q20,'V3'!Q20,'V4'!Q20,'V5'!Q20)</f>
        <v>59.216595149817998</v>
      </c>
      <c r="R12">
        <f>MEDIAN('V1'!R20,'V2'!R20,'V3'!R20,'V4'!R20,'V5'!R20)</f>
        <v>84.593345656192199</v>
      </c>
      <c r="S12">
        <f>MEDIAN('V1'!S20,'V2'!S20,'V3'!S20,'V4'!S20,'V5'!S20)</f>
        <v>81.783911615676104</v>
      </c>
      <c r="T12">
        <f>MEDIAN('V1'!T20,'V2'!T20,'V3'!T20,'V4'!T20,'V5'!T20)</f>
        <v>14.562598218962799</v>
      </c>
      <c r="U12">
        <f>MEDIAN('V1'!U20,'V2'!U20,'V3'!U20,'V4'!U20,'V5'!U20)</f>
        <v>70.149463689115507</v>
      </c>
      <c r="V12">
        <f>MEDIAN('V1'!V20,'V2'!V20,'V3'!V20,'V4'!V20,'V5'!V20)</f>
        <v>85.437401781037195</v>
      </c>
      <c r="W12">
        <f>MEDIAN('V1'!W20,'V2'!W20,'V3'!W20,'V4'!W20,'V5'!W20)</f>
        <v>82.061796624192198</v>
      </c>
      <c r="X12">
        <f>MEDIAN('V1'!X20,'V2'!X20,'V3'!X20,'V4'!X20,'V5'!X20)</f>
        <v>57.448970747562299</v>
      </c>
      <c r="Y12">
        <f>MEDIAN('V1'!Y20,'V2'!Y20,'V3'!Y20,'V4'!Y20,'V5'!Y20)</f>
        <v>85.437401781037195</v>
      </c>
      <c r="Z12">
        <f>MEDIAN('V1'!Z20,'V2'!Z20,'V3'!Z20,'V4'!Z20,'V5'!Z20)</f>
        <v>85.437401781037195</v>
      </c>
      <c r="AA12">
        <f>MEDIAN('V1'!AA20,'V2'!AA20,'V3'!AA20,'V4'!AA20,'V5'!AA20)</f>
        <v>59.186815553094597</v>
      </c>
      <c r="AB12">
        <f>MEDIAN('V1'!AB20,'V2'!AB20,'V3'!AB20,'V4'!AB20,'V5'!AB20)</f>
        <v>85.437401781037195</v>
      </c>
      <c r="AC12">
        <f>MEDIAN('V1'!AC20,'V2'!AC20,'V3'!AC20,'V4'!AC20,'V5'!AC20)</f>
        <v>82.179654306635399</v>
      </c>
      <c r="AD12">
        <f>MEDIAN('V1'!AD20,'V2'!AD20,'V3'!AD20,'V4'!AD20,'V5'!AD20)</f>
        <v>209126.57763002801</v>
      </c>
      <c r="AE12">
        <f>MEDIAN('V1'!AE20,'V2'!AE20,'V3'!AE20,'V4'!AE20,'V5'!AE20)</f>
        <v>44.940085000000003</v>
      </c>
      <c r="AF12">
        <f>MEDIAN('V1'!AF20,'V2'!AF20,'V3'!AF20,'V4'!AF20,'V5'!AF20)</f>
        <v>10004</v>
      </c>
      <c r="AG12">
        <f>MEDIAN('V1'!AG20,'V2'!AG20,'V3'!AG20,'V4'!AG20,'V5'!AG20)</f>
        <v>7550</v>
      </c>
      <c r="AH12">
        <f>MEDIAN('V1'!AH20,'V2'!AH20,'V3'!AH20,'V4'!AH20,'V5'!AH20)</f>
        <v>46305</v>
      </c>
      <c r="AI12">
        <f>MEDIAN('V1'!AI20,'V2'!AI20,'V3'!AI20,'V4'!AI20,'V5'!AI20)</f>
        <v>46305</v>
      </c>
      <c r="AJ12" t="e">
        <f>MEDIAN('V1'!AJ20,'V2'!AJ20,'V3'!AJ20,'V4'!AJ20,'V5'!AJ20)</f>
        <v>#NUM!</v>
      </c>
      <c r="AK12" t="e">
        <f>MEDIAN('V1'!AK20,'V2'!AK20,'V3'!AK20,'V4'!AK20,'V5'!AK20)</f>
        <v>#NUM!</v>
      </c>
      <c r="AL12" t="e">
        <f>MEDIAN('V1'!AL20,'V2'!AL20,'V3'!AL20,'V4'!AL20,'V5'!AL20)</f>
        <v>#NUM!</v>
      </c>
      <c r="AM12" t="e">
        <f>MEDIAN('V1'!AM20,'V2'!AM20,'V3'!AM20,'V4'!AM20,'V5'!AM20)</f>
        <v>#NUM!</v>
      </c>
    </row>
    <row r="13" spans="1:39" x14ac:dyDescent="0.2">
      <c r="A13" s="1">
        <v>0</v>
      </c>
      <c r="B13" s="51">
        <v>2.12</v>
      </c>
      <c r="C13" s="51" t="s">
        <v>51</v>
      </c>
      <c r="D13" s="2" t="s">
        <v>44</v>
      </c>
      <c r="E13">
        <f>MEDIAN('V1'!E21,'V2'!F21,'V3'!F21,'V4'!F21,'V5'!F21)</f>
        <v>1548</v>
      </c>
      <c r="F13">
        <f>MEDIAN('V1'!F21,'V2'!F21,'V3'!F21,'V4'!F21,'V5'!F21)</f>
        <v>1548</v>
      </c>
      <c r="G13">
        <f>MEDIAN('V1'!G21,'V2'!G21,'V3'!G21,'V4'!G21,'V5'!G21)</f>
        <v>86.118386589837598</v>
      </c>
      <c r="H13">
        <f>MEDIAN('V1'!H21,'V2'!H21,'V3'!H21,'V4'!H21,'V5'!H21)</f>
        <v>265</v>
      </c>
      <c r="I13">
        <f>MEDIAN('V1'!I21,'V2'!I21,'V3'!I21,'V4'!I21,'V5'!I21)</f>
        <v>85.711645101663606</v>
      </c>
      <c r="J13">
        <f>MEDIAN('V1'!J21,'V2'!J21,'V3'!J21,'V4'!J21,'V5'!J21)</f>
        <v>14.343807763401101</v>
      </c>
      <c r="K13">
        <f>MEDIAN('V1'!K21,'V2'!K21,'V3'!K21,'V4'!K21,'V5'!K21)</f>
        <v>71.801743016913704</v>
      </c>
      <c r="L13">
        <f>MEDIAN('V1'!L21,'V2'!L21,'V3'!L21,'V4'!L21,'V5'!L21)</f>
        <v>85.693160813308694</v>
      </c>
      <c r="M13">
        <f>MEDIAN('V1'!M21,'V2'!M21,'V3'!M21,'V4'!M21,'V5'!M21)</f>
        <v>82.546252470675697</v>
      </c>
      <c r="N13">
        <f>MEDIAN('V1'!N21,'V2'!N21,'V3'!N21,'V4'!N21,'V5'!N21)</f>
        <v>56.824980112233803</v>
      </c>
      <c r="O13">
        <f>MEDIAN('V1'!O21,'V2'!O21,'V3'!O21,'V4'!O21,'V5'!O21)</f>
        <v>85.693160813308694</v>
      </c>
      <c r="P13">
        <f>MEDIAN('V1'!P21,'V2'!P21,'V3'!P21,'V4'!P21,'V5'!P21)</f>
        <v>85.656192236598898</v>
      </c>
      <c r="Q13">
        <f>MEDIAN('V1'!Q21,'V2'!Q21,'V3'!Q21,'V4'!Q21,'V5'!Q21)</f>
        <v>58.366869303926102</v>
      </c>
      <c r="R13">
        <f>MEDIAN('V1'!R21,'V2'!R21,'V3'!R21,'V4'!R21,'V5'!R21)</f>
        <v>85.693160813308694</v>
      </c>
      <c r="S13">
        <f>MEDIAN('V1'!S21,'V2'!S21,'V3'!S21,'V4'!S21,'V5'!S21)</f>
        <v>82.030076723627303</v>
      </c>
      <c r="T13">
        <f>MEDIAN('V1'!T21,'V2'!T21,'V3'!T21,'V4'!T21,'V5'!T21)</f>
        <v>13.8816134101624</v>
      </c>
      <c r="U13">
        <f>MEDIAN('V1'!U21,'V2'!U21,'V3'!U21,'V4'!U21,'V5'!U21)</f>
        <v>74.463759894102694</v>
      </c>
      <c r="V13">
        <f>MEDIAN('V1'!V21,'V2'!V21,'V3'!V21,'V4'!V21,'V5'!V21)</f>
        <v>86.118386589837598</v>
      </c>
      <c r="W13">
        <f>MEDIAN('V1'!W21,'V2'!W21,'V3'!W21,'V4'!W21,'V5'!W21)</f>
        <v>83.409870025173404</v>
      </c>
      <c r="X13">
        <f>MEDIAN('V1'!X21,'V2'!X21,'V3'!X21,'V4'!X21,'V5'!X21)</f>
        <v>57.848970747562298</v>
      </c>
      <c r="Y13">
        <f>MEDIAN('V1'!Y21,'V2'!Y21,'V3'!Y21,'V4'!Y21,'V5'!Y21)</f>
        <v>86.118386589837598</v>
      </c>
      <c r="Z13">
        <f>MEDIAN('V1'!Z21,'V2'!Z21,'V3'!Z21,'V4'!Z21,'V5'!Z21)</f>
        <v>86.118386589837598</v>
      </c>
      <c r="AA13">
        <f>MEDIAN('V1'!AA21,'V2'!AA21,'V3'!AA21,'V4'!AA21,'V5'!AA21)</f>
        <v>59.861387159864996</v>
      </c>
      <c r="AB13">
        <f>MEDIAN('V1'!AB21,'V2'!AB21,'V3'!AB21,'V4'!AB21,'V5'!AB21)</f>
        <v>86.118386589837598</v>
      </c>
      <c r="AC13">
        <f>MEDIAN('V1'!AC21,'V2'!AC21,'V3'!AC21,'V4'!AC21,'V5'!AC21)</f>
        <v>82.6662033746275</v>
      </c>
      <c r="AD13">
        <f>MEDIAN('V1'!AD21,'V2'!AD21,'V3'!AD21,'V4'!AD21,'V5'!AD21)</f>
        <v>800059.15409642097</v>
      </c>
      <c r="AE13">
        <f>MEDIAN('V1'!AE21,'V2'!AE21,'V3'!AE21,'V4'!AE21,'V5'!AE21)</f>
        <v>0.78730199999999995</v>
      </c>
      <c r="AF13">
        <f>MEDIAN('V1'!AF21,'V2'!AF21,'V3'!AF21,'V4'!AF21,'V5'!AF21)</f>
        <v>9855</v>
      </c>
      <c r="AG13">
        <f>MEDIAN('V1'!AG21,'V2'!AG21,'V3'!AG21,'V4'!AG21,'V5'!AG21)</f>
        <v>4998</v>
      </c>
      <c r="AH13">
        <f>MEDIAN('V1'!AH21,'V2'!AH21,'V3'!AH21,'V4'!AH21,'V5'!AH21)</f>
        <v>46305</v>
      </c>
      <c r="AI13">
        <f>MEDIAN('V1'!AI21,'V2'!AI21,'V3'!AI21,'V4'!AI21,'V5'!AI21)</f>
        <v>46305</v>
      </c>
      <c r="AJ13" t="e">
        <f>MEDIAN('V1'!AJ21,'V2'!AJ21,'V3'!AJ21,'V4'!AJ21,'V5'!AJ21)</f>
        <v>#NUM!</v>
      </c>
      <c r="AK13" t="e">
        <f>MEDIAN('V1'!AK21,'V2'!AK21,'V3'!AK21,'V4'!AK21,'V5'!AK21)</f>
        <v>#NUM!</v>
      </c>
      <c r="AL13" t="e">
        <f>MEDIAN('V1'!AL21,'V2'!AL21,'V3'!AL21,'V4'!AL21,'V5'!AL21)</f>
        <v>#NUM!</v>
      </c>
      <c r="AM13" t="e">
        <f>MEDIAN('V1'!AM21,'V2'!AM21,'V3'!AM21,'V4'!AM21,'V5'!AM21)</f>
        <v>#NUM!</v>
      </c>
    </row>
    <row r="14" spans="1:39" x14ac:dyDescent="0.2">
      <c r="A14" s="1">
        <v>0</v>
      </c>
      <c r="B14" s="51">
        <v>2.13</v>
      </c>
      <c r="C14" s="51" t="s">
        <v>51</v>
      </c>
      <c r="D14" s="2" t="s">
        <v>44</v>
      </c>
      <c r="E14">
        <f>MEDIAN('V1'!E22,'V2'!F22,'V3'!F22,'V4'!F22,'V5'!F22)</f>
        <v>2225</v>
      </c>
      <c r="F14">
        <f>MEDIAN('V1'!F22,'V2'!F22,'V3'!F22,'V4'!F22,'V5'!F22)</f>
        <v>2225</v>
      </c>
      <c r="G14">
        <f>MEDIAN('V1'!G22,'V2'!G22,'V3'!G22,'V4'!G22,'V5'!G22)</f>
        <v>80.6181246726035</v>
      </c>
      <c r="H14">
        <f>MEDIAN('V1'!H22,'V2'!H22,'V3'!H22,'V4'!H22,'V5'!H22)</f>
        <v>364</v>
      </c>
      <c r="I14">
        <f>MEDIAN('V1'!I22,'V2'!I22,'V3'!I22,'V4'!I22,'V5'!I22)</f>
        <v>79.537892791127504</v>
      </c>
      <c r="J14">
        <f>MEDIAN('V1'!J22,'V2'!J22,'V3'!J22,'V4'!J22,'V5'!J22)</f>
        <v>20.757855822550798</v>
      </c>
      <c r="K14">
        <f>MEDIAN('V1'!K22,'V2'!K22,'V3'!K22,'V4'!K22,'V5'!K22)</f>
        <v>58.270979706932998</v>
      </c>
      <c r="L14">
        <f>MEDIAN('V1'!L22,'V2'!L22,'V3'!L22,'V4'!L22,'V5'!L22)</f>
        <v>79.436229205175593</v>
      </c>
      <c r="M14">
        <f>MEDIAN('V1'!M22,'V2'!M22,'V3'!M22,'V4'!M22,'V5'!M22)</f>
        <v>78.809137667059005</v>
      </c>
      <c r="N14">
        <f>MEDIAN('V1'!N22,'V2'!N22,'V3'!N22,'V4'!N22,'V5'!N22)</f>
        <v>57.933451602111901</v>
      </c>
      <c r="O14">
        <f>MEDIAN('V1'!O22,'V2'!O22,'V3'!O22,'V4'!O22,'V5'!O22)</f>
        <v>79.436229205175593</v>
      </c>
      <c r="P14">
        <f>MEDIAN('V1'!P22,'V2'!P22,'V3'!P22,'V4'!P22,'V5'!P22)</f>
        <v>79.242936160164007</v>
      </c>
      <c r="Q14">
        <f>MEDIAN('V1'!Q22,'V2'!Q22,'V3'!Q22,'V4'!Q22,'V5'!Q22)</f>
        <v>58.1685343522526</v>
      </c>
      <c r="R14">
        <f>MEDIAN('V1'!R22,'V2'!R22,'V3'!R22,'V4'!R22,'V5'!R22)</f>
        <v>79.436229205175593</v>
      </c>
      <c r="S14">
        <f>MEDIAN('V1'!S22,'V2'!S22,'V3'!S22,'V4'!S22,'V5'!S22)</f>
        <v>78.937141316526194</v>
      </c>
      <c r="T14">
        <f>MEDIAN('V1'!T22,'V2'!T22,'V3'!T22,'V4'!T22,'V5'!T22)</f>
        <v>19.3818753273965</v>
      </c>
      <c r="U14">
        <f>MEDIAN('V1'!U22,'V2'!U22,'V3'!U22,'V4'!U22,'V5'!U22)</f>
        <v>60.177759957230698</v>
      </c>
      <c r="V14">
        <f>MEDIAN('V1'!V22,'V2'!V22,'V3'!V22,'V4'!V22,'V5'!V22)</f>
        <v>80.6181246726035</v>
      </c>
      <c r="W14">
        <f>MEDIAN('V1'!W22,'V2'!W22,'V3'!W22,'V4'!W22,'V5'!W22)</f>
        <v>78.969846663952097</v>
      </c>
      <c r="X14">
        <f>MEDIAN('V1'!X22,'V2'!X22,'V3'!X22,'V4'!X22,'V5'!X22)</f>
        <v>58.580281690140801</v>
      </c>
      <c r="Y14">
        <f>MEDIAN('V1'!Y22,'V2'!Y22,'V3'!Y22,'V4'!Y22,'V5'!Y22)</f>
        <v>80.6181246726035</v>
      </c>
      <c r="Z14">
        <f>MEDIAN('V1'!Z22,'V2'!Z22,'V3'!Z22,'V4'!Z22,'V5'!Z22)</f>
        <v>80.6181246726035</v>
      </c>
      <c r="AA14">
        <f>MEDIAN('V1'!AA22,'V2'!AA22,'V3'!AA22,'V4'!AA22,'V5'!AA22)</f>
        <v>59.216871146920603</v>
      </c>
      <c r="AB14">
        <f>MEDIAN('V1'!AB22,'V2'!AB22,'V3'!AB22,'V4'!AB22,'V5'!AB22)</f>
        <v>80.6181246726035</v>
      </c>
      <c r="AC14">
        <f>MEDIAN('V1'!AC22,'V2'!AC22,'V3'!AC22,'V4'!AC22,'V5'!AC22)</f>
        <v>80.121794471501602</v>
      </c>
      <c r="AD14">
        <f>MEDIAN('V1'!AD22,'V2'!AD22,'V3'!AD22,'V4'!AD22,'V5'!AD22)</f>
        <v>446277.58300680498</v>
      </c>
      <c r="AE14">
        <f>MEDIAN('V1'!AE22,'V2'!AE22,'V3'!AE22,'V4'!AE22,'V5'!AE22)</f>
        <v>94.005886000000004</v>
      </c>
      <c r="AF14">
        <f>MEDIAN('V1'!AF22,'V2'!AF22,'V3'!AF22,'V4'!AF22,'V5'!AF22)</f>
        <v>19604</v>
      </c>
      <c r="AG14">
        <f>MEDIAN('V1'!AG22,'V2'!AG22,'V3'!AG22,'V4'!AG22,'V5'!AG22)</f>
        <v>17150</v>
      </c>
      <c r="AH14">
        <f>MEDIAN('V1'!AH22,'V2'!AH22,'V3'!AH22,'V4'!AH22,'V5'!AH22)</f>
        <v>46305</v>
      </c>
      <c r="AI14">
        <f>MEDIAN('V1'!AI22,'V2'!AI22,'V3'!AI22,'V4'!AI22,'V5'!AI22)</f>
        <v>46305</v>
      </c>
      <c r="AJ14" t="e">
        <f>MEDIAN('V1'!AJ22,'V2'!AJ22,'V3'!AJ22,'V4'!AJ22,'V5'!AJ22)</f>
        <v>#NUM!</v>
      </c>
      <c r="AK14" t="e">
        <f>MEDIAN('V1'!AK22,'V2'!AK22,'V3'!AK22,'V4'!AK22,'V5'!AK22)</f>
        <v>#NUM!</v>
      </c>
      <c r="AL14" t="e">
        <f>MEDIAN('V1'!AL22,'V2'!AL22,'V3'!AL22,'V4'!AL22,'V5'!AL22)</f>
        <v>#NUM!</v>
      </c>
      <c r="AM14" t="e">
        <f>MEDIAN('V1'!AM22,'V2'!AM22,'V3'!AM22,'V4'!AM22,'V5'!AM22)</f>
        <v>#NUM!</v>
      </c>
    </row>
    <row r="15" spans="1:39" x14ac:dyDescent="0.2">
      <c r="A15" s="1">
        <v>0</v>
      </c>
      <c r="B15" s="51">
        <v>2.14</v>
      </c>
      <c r="C15" s="51" t="s">
        <v>51</v>
      </c>
      <c r="D15" s="2" t="s">
        <v>44</v>
      </c>
      <c r="E15">
        <f>MEDIAN('V1'!E23,'V2'!F23,'V3'!F23,'V4'!F23,'V5'!F23)</f>
        <v>1642</v>
      </c>
      <c r="F15">
        <f>MEDIAN('V1'!F23,'V2'!F23,'V3'!F23,'V4'!F23,'V5'!F23)</f>
        <v>1642</v>
      </c>
      <c r="G15">
        <f>MEDIAN('V1'!G23,'V2'!G23,'V3'!G23,'V4'!G23,'V5'!G23)</f>
        <v>85.227867993714</v>
      </c>
      <c r="H15">
        <f>MEDIAN('V1'!H23,'V2'!H23,'V3'!H23,'V4'!H23,'V5'!H23)</f>
        <v>276</v>
      </c>
      <c r="I15">
        <f>MEDIAN('V1'!I23,'V2'!I23,'V3'!I23,'V4'!I23,'V5'!I23)</f>
        <v>84.916820702403001</v>
      </c>
      <c r="J15">
        <f>MEDIAN('V1'!J23,'V2'!J23,'V3'!J23,'V4'!J23,'V5'!J23)</f>
        <v>15.184842883549001</v>
      </c>
      <c r="K15">
        <f>MEDIAN('V1'!K23,'V2'!K23,'V3'!K23,'V4'!K23,'V5'!K23)</f>
        <v>67.036924531571202</v>
      </c>
      <c r="L15">
        <f>MEDIAN('V1'!L23,'V2'!L23,'V3'!L23,'V4'!L23,'V5'!L23)</f>
        <v>84.824399260628496</v>
      </c>
      <c r="M15">
        <f>MEDIAN('V1'!M23,'V2'!M23,'V3'!M23,'V4'!M23,'V5'!M23)</f>
        <v>80.926075234893503</v>
      </c>
      <c r="N15">
        <f>MEDIAN('V1'!N23,'V2'!N23,'V3'!N23,'V4'!N23,'V5'!N23)</f>
        <v>56.438623874374002</v>
      </c>
      <c r="O15">
        <f>MEDIAN('V1'!O23,'V2'!O23,'V3'!O23,'V4'!O23,'V5'!O23)</f>
        <v>84.824399260628496</v>
      </c>
      <c r="P15">
        <f>MEDIAN('V1'!P23,'V2'!P23,'V3'!P23,'V4'!P23,'V5'!P23)</f>
        <v>84.815157116451005</v>
      </c>
      <c r="Q15">
        <f>MEDIAN('V1'!Q23,'V2'!Q23,'V3'!Q23,'V4'!Q23,'V5'!Q23)</f>
        <v>57.741367973612</v>
      </c>
      <c r="R15">
        <f>MEDIAN('V1'!R23,'V2'!R23,'V3'!R23,'V4'!R23,'V5'!R23)</f>
        <v>84.824399260628496</v>
      </c>
      <c r="S15">
        <f>MEDIAN('V1'!S23,'V2'!S23,'V3'!S23,'V4'!S23,'V5'!S23)</f>
        <v>81.491391715955203</v>
      </c>
      <c r="T15">
        <f>MEDIAN('V1'!T23,'V2'!T23,'V3'!T23,'V4'!T23,'V5'!T23)</f>
        <v>14.772132006286</v>
      </c>
      <c r="U15">
        <f>MEDIAN('V1'!U23,'V2'!U23,'V3'!U23,'V4'!U23,'V5'!U23)</f>
        <v>71.485145921022706</v>
      </c>
      <c r="V15">
        <f>MEDIAN('V1'!V23,'V2'!V23,'V3'!V23,'V4'!V23,'V5'!V23)</f>
        <v>85.227867993714</v>
      </c>
      <c r="W15">
        <f>MEDIAN('V1'!W23,'V2'!W23,'V3'!W23,'V4'!W23,'V5'!W23)</f>
        <v>81.673862908120199</v>
      </c>
      <c r="X15">
        <f>MEDIAN('V1'!X23,'V2'!X23,'V3'!X23,'V4'!X23,'V5'!X23)</f>
        <v>57.004550379198299</v>
      </c>
      <c r="Y15">
        <f>MEDIAN('V1'!Y23,'V2'!Y23,'V3'!Y23,'V4'!Y23,'V5'!Y23)</f>
        <v>85.332634887375605</v>
      </c>
      <c r="Z15">
        <f>MEDIAN('V1'!Z23,'V2'!Z23,'V3'!Z23,'V4'!Z23,'V5'!Z23)</f>
        <v>85.227867993714</v>
      </c>
      <c r="AA15">
        <f>MEDIAN('V1'!AA23,'V2'!AA23,'V3'!AA23,'V4'!AA23,'V5'!AA23)</f>
        <v>58.550339463288203</v>
      </c>
      <c r="AB15">
        <f>MEDIAN('V1'!AB23,'V2'!AB23,'V3'!AB23,'V4'!AB23,'V5'!AB23)</f>
        <v>85.227867993714</v>
      </c>
      <c r="AC15">
        <f>MEDIAN('V1'!AC23,'V2'!AC23,'V3'!AC23,'V4'!AC23,'V5'!AC23)</f>
        <v>81.886496036556693</v>
      </c>
      <c r="AD15">
        <f>MEDIAN('V1'!AD23,'V2'!AD23,'V3'!AD23,'V4'!AD23,'V5'!AD23)</f>
        <v>116840.34339398499</v>
      </c>
      <c r="AE15">
        <f>MEDIAN('V1'!AE23,'V2'!AE23,'V3'!AE23,'V4'!AE23,'V5'!AE23)</f>
        <v>41.586708000000002</v>
      </c>
      <c r="AF15">
        <f>MEDIAN('V1'!AF23,'V2'!AF23,'V3'!AF23,'V4'!AF23,'V5'!AF23)</f>
        <v>9856</v>
      </c>
      <c r="AG15">
        <f>MEDIAN('V1'!AG23,'V2'!AG23,'V3'!AG23,'V4'!AG23,'V5'!AG23)</f>
        <v>6878</v>
      </c>
      <c r="AH15">
        <f>MEDIAN('V1'!AH23,'V2'!AH23,'V3'!AH23,'V4'!AH23,'V5'!AH23)</f>
        <v>46305</v>
      </c>
      <c r="AI15">
        <f>MEDIAN('V1'!AI23,'V2'!AI23,'V3'!AI23,'V4'!AI23,'V5'!AI23)</f>
        <v>46305</v>
      </c>
      <c r="AJ15" t="e">
        <f>MEDIAN('V1'!AJ23,'V2'!AJ23,'V3'!AJ23,'V4'!AJ23,'V5'!AJ23)</f>
        <v>#NUM!</v>
      </c>
      <c r="AK15" t="e">
        <f>MEDIAN('V1'!AK23,'V2'!AK23,'V3'!AK23,'V4'!AK23,'V5'!AK23)</f>
        <v>#NUM!</v>
      </c>
      <c r="AL15" t="e">
        <f>MEDIAN('V1'!AL23,'V2'!AL23,'V3'!AL23,'V4'!AL23,'V5'!AL23)</f>
        <v>#NUM!</v>
      </c>
      <c r="AM15" t="e">
        <f>MEDIAN('V1'!AM23,'V2'!AM23,'V3'!AM23,'V4'!AM23,'V5'!AM23)</f>
        <v>#NUM!</v>
      </c>
    </row>
    <row r="16" spans="1:39" x14ac:dyDescent="0.2">
      <c r="A16" s="1">
        <v>0</v>
      </c>
      <c r="B16" s="51">
        <v>2.15</v>
      </c>
      <c r="C16" s="51" t="s">
        <v>58</v>
      </c>
      <c r="D16" s="2" t="s">
        <v>44</v>
      </c>
      <c r="E16">
        <f>MEDIAN('V1'!E24,'V2'!F24,'V3'!F24,'V4'!F24,'V5'!F24)</f>
        <v>1641</v>
      </c>
      <c r="F16">
        <f>MEDIAN('V1'!F24,'V2'!F24,'V3'!F24,'V4'!F24,'V5'!F24)</f>
        <v>1654</v>
      </c>
      <c r="G16">
        <f>MEDIAN('V1'!G24,'V2'!G24,'V3'!G24,'V4'!G24,'V5'!G24)</f>
        <v>85.437401781037195</v>
      </c>
      <c r="H16">
        <f>MEDIAN('V1'!H24,'V2'!H24,'V3'!H24,'V4'!H24,'V5'!H24)</f>
        <v>271</v>
      </c>
      <c r="I16">
        <f>MEDIAN('V1'!I24,'V2'!I24,'V3'!I24,'V4'!I24,'V5'!I24)</f>
        <v>84.205175600739395</v>
      </c>
      <c r="J16">
        <f>MEDIAN('V1'!J24,'V2'!J24,'V3'!J24,'V4'!J24,'V5'!J24)</f>
        <v>15.2865064695009</v>
      </c>
      <c r="K16">
        <f>MEDIAN('V1'!K24,'V2'!K24,'V3'!K24,'V4'!K24,'V5'!K24)</f>
        <v>66.684453869974405</v>
      </c>
      <c r="L16">
        <f>MEDIAN('V1'!L24,'V2'!L24,'V3'!L24,'V4'!L24,'V5'!L24)</f>
        <v>84.713493530499093</v>
      </c>
      <c r="M16">
        <f>MEDIAN('V1'!M24,'V2'!M24,'V3'!M24,'V4'!M24,'V5'!M24)</f>
        <v>81.030168904872994</v>
      </c>
      <c r="N16">
        <f>MEDIAN('V1'!N24,'V2'!N24,'V3'!N24,'V4'!N24,'V5'!N24)</f>
        <v>56.751101642115103</v>
      </c>
      <c r="O16">
        <f>MEDIAN('V1'!O24,'V2'!O24,'V3'!O24,'V4'!O24,'V5'!O24)</f>
        <v>84.713493530499093</v>
      </c>
      <c r="P16">
        <f>MEDIAN('V1'!P24,'V2'!P24,'V3'!P24,'V4'!P24,'V5'!P24)</f>
        <v>84.713493530499093</v>
      </c>
      <c r="Q16">
        <f>MEDIAN('V1'!Q24,'V2'!Q24,'V3'!Q24,'V4'!Q24,'V5'!Q24)</f>
        <v>58.163084474937001</v>
      </c>
      <c r="R16">
        <f>MEDIAN('V1'!R24,'V2'!R24,'V3'!R24,'V4'!R24,'V5'!R24)</f>
        <v>84.833641404805903</v>
      </c>
      <c r="S16">
        <f>MEDIAN('V1'!S24,'V2'!S24,'V3'!S24,'V4'!S24,'V5'!S24)</f>
        <v>81.611600377660594</v>
      </c>
      <c r="T16">
        <f>MEDIAN('V1'!T24,'V2'!T24,'V3'!T24,'V4'!T24,'V5'!T24)</f>
        <v>14.562598218962799</v>
      </c>
      <c r="U16">
        <f>MEDIAN('V1'!U24,'V2'!U24,'V3'!U24,'V4'!U24,'V5'!U24)</f>
        <v>71.822066862364807</v>
      </c>
      <c r="V16">
        <f>MEDIAN('V1'!V24,'V2'!V24,'V3'!V24,'V4'!V24,'V5'!V24)</f>
        <v>85.437401781037195</v>
      </c>
      <c r="W16">
        <f>MEDIAN('V1'!W24,'V2'!W24,'V3'!W24,'V4'!W24,'V5'!W24)</f>
        <v>82.477800934666107</v>
      </c>
      <c r="X16">
        <f>MEDIAN('V1'!X24,'V2'!X24,'V3'!X24,'V4'!X24,'V5'!X24)</f>
        <v>59.117226435536303</v>
      </c>
      <c r="Y16">
        <f>MEDIAN('V1'!Y24,'V2'!Y24,'V3'!Y24,'V4'!Y24,'V5'!Y24)</f>
        <v>85.437401781037195</v>
      </c>
      <c r="Z16">
        <f>MEDIAN('V1'!Z24,'V2'!Z24,'V3'!Z24,'V4'!Z24,'V5'!Z24)</f>
        <v>85.437401781037195</v>
      </c>
      <c r="AA16">
        <f>MEDIAN('V1'!AA24,'V2'!AA24,'V3'!AA24,'V4'!AA24,'V5'!AA24)</f>
        <v>61.391373006745702</v>
      </c>
      <c r="AB16">
        <f>MEDIAN('V1'!AB24,'V2'!AB24,'V3'!AB24,'V4'!AB24,'V5'!AB24)</f>
        <v>85.437401781037195</v>
      </c>
      <c r="AC16">
        <f>MEDIAN('V1'!AC24,'V2'!AC24,'V3'!AC24,'V4'!AC24,'V5'!AC24)</f>
        <v>82.957544285879806</v>
      </c>
      <c r="AD16">
        <f>MEDIAN('V1'!AD24,'V2'!AD24,'V3'!AD24,'V4'!AD24,'V5'!AD24)</f>
        <v>433789.03900893999</v>
      </c>
      <c r="AE16">
        <f>MEDIAN('V1'!AE24,'V2'!AE24,'V3'!AE24,'V4'!AE24,'V5'!AE24)</f>
        <v>58.458947000000002</v>
      </c>
      <c r="AF16">
        <f>MEDIAN('V1'!AF24,'V2'!AF24,'V3'!AF24,'V4'!AF24,'V5'!AF24)</f>
        <v>11628</v>
      </c>
      <c r="AG16">
        <f>MEDIAN('V1'!AG24,'V2'!AG24,'V3'!AG24,'V4'!AG24,'V5'!AG24)</f>
        <v>8126</v>
      </c>
      <c r="AH16">
        <f>MEDIAN('V1'!AH24,'V2'!AH24,'V3'!AH24,'V4'!AH24,'V5'!AH24)</f>
        <v>46305</v>
      </c>
      <c r="AI16">
        <f>MEDIAN('V1'!AI24,'V2'!AI24,'V3'!AI24,'V4'!AI24,'V5'!AI24)</f>
        <v>46305</v>
      </c>
      <c r="AJ16" t="e">
        <f>MEDIAN('V1'!AJ24,'V2'!AJ24,'V3'!AJ24,'V4'!AJ24,'V5'!AJ24)</f>
        <v>#NUM!</v>
      </c>
      <c r="AK16" t="e">
        <f>MEDIAN('V1'!AK24,'V2'!AK24,'V3'!AK24,'V4'!AK24,'V5'!AK24)</f>
        <v>#NUM!</v>
      </c>
      <c r="AL16" t="e">
        <f>MEDIAN('V1'!AL24,'V2'!AL24,'V3'!AL24,'V4'!AL24,'V5'!AL24)</f>
        <v>#NUM!</v>
      </c>
      <c r="AM16" t="e">
        <f>MEDIAN('V1'!AM24,'V2'!AM24,'V3'!AM24,'V4'!AM24,'V5'!AM24)</f>
        <v>#NUM!</v>
      </c>
    </row>
    <row r="17" spans="1:39" x14ac:dyDescent="0.2">
      <c r="A17" s="1">
        <v>0</v>
      </c>
      <c r="B17" s="51">
        <v>2.16</v>
      </c>
      <c r="C17" s="51" t="s">
        <v>58</v>
      </c>
      <c r="D17" s="2" t="s">
        <v>44</v>
      </c>
      <c r="E17">
        <f>MEDIAN('V1'!E25,'V2'!F25,'V3'!F25,'V4'!F25,'V5'!F25)</f>
        <v>1612</v>
      </c>
      <c r="F17">
        <f>MEDIAN('V1'!F25,'V2'!F25,'V3'!F25,'V4'!F25,'V5'!F25)</f>
        <v>1612</v>
      </c>
      <c r="G17">
        <f>MEDIAN('V1'!G25,'V2'!G25,'V3'!G25,'V4'!G25,'V5'!G25)</f>
        <v>85.123101100052395</v>
      </c>
      <c r="H17">
        <f>MEDIAN('V1'!H25,'V2'!H25,'V3'!H25,'V4'!H25,'V5'!H25)</f>
        <v>284</v>
      </c>
      <c r="I17">
        <f>MEDIAN('V1'!I25,'V2'!I25,'V3'!I25,'V4'!I25,'V5'!I25)</f>
        <v>85.101663585951897</v>
      </c>
      <c r="J17">
        <f>MEDIAN('V1'!J25,'V2'!J25,'V3'!J25,'V4'!J25,'V5'!J25)</f>
        <v>14.898336414048099</v>
      </c>
      <c r="K17">
        <f>MEDIAN('V1'!K25,'V2'!K25,'V3'!K25,'V4'!K25,'V5'!K25)</f>
        <v>50</v>
      </c>
      <c r="L17">
        <f>MEDIAN('V1'!L25,'V2'!L25,'V3'!L25,'V4'!L25,'V5'!L25)</f>
        <v>85.101663585951897</v>
      </c>
      <c r="M17">
        <f>MEDIAN('V1'!M25,'V2'!M25,'V3'!M25,'V4'!M25,'V5'!M25)</f>
        <v>85.101663585951897</v>
      </c>
      <c r="N17">
        <f>MEDIAN('V1'!N25,'V2'!N25,'V3'!N25,'V4'!N25,'V5'!N25)</f>
        <v>50</v>
      </c>
      <c r="O17">
        <f>MEDIAN('V1'!O25,'V2'!O25,'V3'!O25,'V4'!O25,'V5'!O25)</f>
        <v>85.101663585951897</v>
      </c>
      <c r="P17">
        <f>MEDIAN('V1'!P25,'V2'!P25,'V3'!P25,'V4'!P25,'V5'!P25)</f>
        <v>85.101663585951897</v>
      </c>
      <c r="Q17">
        <f>MEDIAN('V1'!Q25,'V2'!Q25,'V3'!Q25,'V4'!Q25,'V5'!Q25)</f>
        <v>45.975634112242901</v>
      </c>
      <c r="R17">
        <f>MEDIAN('V1'!R25,'V2'!R25,'V3'!R25,'V4'!R25,'V5'!R25)</f>
        <v>85.101663585951897</v>
      </c>
      <c r="S17">
        <f>MEDIAN('V1'!S25,'V2'!S25,'V3'!S25,'V4'!S25,'V5'!S25)</f>
        <v>78.252058947418206</v>
      </c>
      <c r="T17">
        <f>MEDIAN('V1'!T25,'V2'!T25,'V3'!T25,'V4'!T25,'V5'!T25)</f>
        <v>14.8768988999476</v>
      </c>
      <c r="U17">
        <f>MEDIAN('V1'!U25,'V2'!U25,'V3'!U25,'V4'!U25,'V5'!U25)</f>
        <v>85.123101100052395</v>
      </c>
      <c r="V17">
        <f>MEDIAN('V1'!V25,'V2'!V25,'V3'!V25,'V4'!V25,'V5'!V25)</f>
        <v>85.123101100052395</v>
      </c>
      <c r="W17">
        <f>MEDIAN('V1'!W25,'V2'!W25,'V3'!W25,'V4'!W25,'V5'!W25)</f>
        <v>50</v>
      </c>
      <c r="X17">
        <f>MEDIAN('V1'!X25,'V2'!X25,'V3'!X25,'V4'!X25,'V5'!X25)</f>
        <v>50</v>
      </c>
      <c r="Y17">
        <f>MEDIAN('V1'!Y25,'V2'!Y25,'V3'!Y25,'V4'!Y25,'V5'!Y25)</f>
        <v>85.123101100052395</v>
      </c>
      <c r="Z17">
        <f>MEDIAN('V1'!Z25,'V2'!Z25,'V3'!Z25,'V4'!Z25,'V5'!Z25)</f>
        <v>85.123101100052395</v>
      </c>
      <c r="AA17">
        <f>MEDIAN('V1'!AA25,'V2'!AA25,'V3'!AA25,'V4'!AA25,'V5'!AA25)</f>
        <v>45.9818902093945</v>
      </c>
      <c r="AB17">
        <f>MEDIAN('V1'!AB25,'V2'!AB25,'V3'!AB25,'V4'!AB25,'V5'!AB25)</f>
        <v>85.123101100052395</v>
      </c>
      <c r="AC17">
        <f>MEDIAN('V1'!AC25,'V2'!AC25,'V3'!AC25,'V4'!AC25,'V5'!AC25)</f>
        <v>78.282421781315904</v>
      </c>
      <c r="AD17">
        <f>MEDIAN('V1'!AD25,'V2'!AD25,'V3'!AD25,'V4'!AD25,'V5'!AD25)</f>
        <v>31826.899318751399</v>
      </c>
      <c r="AE17">
        <f>MEDIAN('V1'!AE25,'V2'!AE25,'V3'!AE25,'V4'!AE25,'V5'!AE25)</f>
        <v>36.753915999999997</v>
      </c>
      <c r="AF17">
        <f>MEDIAN('V1'!AF25,'V2'!AF25,'V3'!AF25,'V4'!AF25,'V5'!AF25)</f>
        <v>13438</v>
      </c>
      <c r="AG17">
        <f>MEDIAN('V1'!AG25,'V2'!AG25,'V3'!AG25,'V4'!AG25,'V5'!AG25)</f>
        <v>14120</v>
      </c>
      <c r="AH17">
        <f>MEDIAN('V1'!AH25,'V2'!AH25,'V3'!AH25,'V4'!AH25,'V5'!AH25)</f>
        <v>46305</v>
      </c>
      <c r="AI17">
        <f>MEDIAN('V1'!AI25,'V2'!AI25,'V3'!AI25,'V4'!AI25,'V5'!AI25)</f>
        <v>46305</v>
      </c>
      <c r="AJ17" t="e">
        <f>MEDIAN('V1'!AJ25,'V2'!AJ25,'V3'!AJ25,'V4'!AJ25,'V5'!AJ25)</f>
        <v>#NUM!</v>
      </c>
      <c r="AK17" t="e">
        <f>MEDIAN('V1'!AK25,'V2'!AK25,'V3'!AK25,'V4'!AK25,'V5'!AK25)</f>
        <v>#NUM!</v>
      </c>
      <c r="AL17" t="e">
        <f>MEDIAN('V1'!AL25,'V2'!AL25,'V3'!AL25,'V4'!AL25,'V5'!AL25)</f>
        <v>#NUM!</v>
      </c>
      <c r="AM17" t="e">
        <f>MEDIAN('V1'!AM25,'V2'!AM25,'V3'!AM25,'V4'!AM25,'V5'!AM25)</f>
        <v>#NUM!</v>
      </c>
    </row>
    <row r="18" spans="1:39" x14ac:dyDescent="0.2">
      <c r="A18" s="1">
        <v>0</v>
      </c>
      <c r="B18" s="51">
        <v>2.17</v>
      </c>
      <c r="C18" s="51" t="s">
        <v>58</v>
      </c>
      <c r="D18" s="2" t="s">
        <v>44</v>
      </c>
      <c r="E18">
        <f>MEDIAN('V1'!E26,'V2'!F26,'V3'!F26,'V4'!F26,'V5'!F26)</f>
        <v>1620</v>
      </c>
      <c r="F18">
        <f>MEDIAN('V1'!F26,'V2'!F26,'V3'!F26,'V4'!F26,'V5'!F26)</f>
        <v>1620</v>
      </c>
      <c r="G18">
        <f>MEDIAN('V1'!G26,'V2'!G26,'V3'!G26,'V4'!G26,'V5'!G26)</f>
        <v>84.599266631744399</v>
      </c>
      <c r="H18">
        <f>MEDIAN('V1'!H26,'V2'!H26,'V3'!H26,'V4'!H26,'V5'!H26)</f>
        <v>289</v>
      </c>
      <c r="I18">
        <f>MEDIAN('V1'!I26,'V2'!I26,'V3'!I26,'V4'!I26,'V5'!I26)</f>
        <v>85.295748613678398</v>
      </c>
      <c r="J18">
        <f>MEDIAN('V1'!J26,'V2'!J26,'V3'!J26,'V4'!J26,'V5'!J26)</f>
        <v>14.972273567467701</v>
      </c>
      <c r="K18">
        <f>MEDIAN('V1'!K26,'V2'!K26,'V3'!K26,'V4'!K26,'V5'!K26)</f>
        <v>65.095551131671002</v>
      </c>
      <c r="L18">
        <f>MEDIAN('V1'!L26,'V2'!L26,'V3'!L26,'V4'!L26,'V5'!L26)</f>
        <v>85.027726432532305</v>
      </c>
      <c r="M18">
        <f>MEDIAN('V1'!M26,'V2'!M26,'V3'!M26,'V4'!M26,'V5'!M26)</f>
        <v>79.293300905240301</v>
      </c>
      <c r="N18">
        <f>MEDIAN('V1'!N26,'V2'!N26,'V3'!N26,'V4'!N26,'V5'!N26)</f>
        <v>50.8521153253294</v>
      </c>
      <c r="O18">
        <f>MEDIAN('V1'!O26,'V2'!O26,'V3'!O26,'V4'!O26,'V5'!O26)</f>
        <v>85.027726432532305</v>
      </c>
      <c r="P18">
        <f>MEDIAN('V1'!P26,'V2'!P26,'V3'!P26,'V4'!P26,'V5'!P26)</f>
        <v>85.027726432532305</v>
      </c>
      <c r="Q18">
        <f>MEDIAN('V1'!Q26,'V2'!Q26,'V3'!Q26,'V4'!Q26,'V5'!Q26)</f>
        <v>48.151003317525998</v>
      </c>
      <c r="R18">
        <f>MEDIAN('V1'!R26,'V2'!R26,'V3'!R26,'V4'!R26,'V5'!R26)</f>
        <v>85.027726432532305</v>
      </c>
      <c r="S18">
        <f>MEDIAN('V1'!S26,'V2'!S26,'V3'!S26,'V4'!S26,'V5'!S26)</f>
        <v>78.808243415306407</v>
      </c>
      <c r="T18">
        <f>MEDIAN('V1'!T26,'V2'!T26,'V3'!T26,'V4'!T26,'V5'!T26)</f>
        <v>15.400733368255599</v>
      </c>
      <c r="U18">
        <f>MEDIAN('V1'!U26,'V2'!U26,'V3'!U26,'V4'!U26,'V5'!U26)</f>
        <v>63.141349906055801</v>
      </c>
      <c r="V18">
        <f>MEDIAN('V1'!V26,'V2'!V26,'V3'!V26,'V4'!V26,'V5'!V26)</f>
        <v>84.599266631744399</v>
      </c>
      <c r="W18">
        <f>MEDIAN('V1'!W26,'V2'!W26,'V3'!W26,'V4'!W26,'V5'!W26)</f>
        <v>75.276708017213195</v>
      </c>
      <c r="X18">
        <f>MEDIAN('V1'!X26,'V2'!X26,'V3'!X26,'V4'!X26,'V5'!X26)</f>
        <v>51.1787010630023</v>
      </c>
      <c r="Y18">
        <f>MEDIAN('V1'!Y26,'V2'!Y26,'V3'!Y26,'V4'!Y26,'V5'!Y26)</f>
        <v>84.861183865898397</v>
      </c>
      <c r="Z18">
        <f>MEDIAN('V1'!Z26,'V2'!Z26,'V3'!Z26,'V4'!Z26,'V5'!Z26)</f>
        <v>84.599266631744399</v>
      </c>
      <c r="AA18">
        <f>MEDIAN('V1'!AA26,'V2'!AA26,'V3'!AA26,'V4'!AA26,'V5'!AA26)</f>
        <v>48.815959520427697</v>
      </c>
      <c r="AB18">
        <f>MEDIAN('V1'!AB26,'V2'!AB26,'V3'!AB26,'V4'!AB26,'V5'!AB26)</f>
        <v>84.599266631744399</v>
      </c>
      <c r="AC18">
        <f>MEDIAN('V1'!AC26,'V2'!AC26,'V3'!AC26,'V4'!AC26,'V5'!AC26)</f>
        <v>78.943647035150093</v>
      </c>
      <c r="AD18">
        <f>MEDIAN('V1'!AD26,'V2'!AD26,'V3'!AD26,'V4'!AD26,'V5'!AD26)</f>
        <v>62229.686205944599</v>
      </c>
      <c r="AE18">
        <f>MEDIAN('V1'!AE26,'V2'!AE26,'V3'!AE26,'V4'!AE26,'V5'!AE26)</f>
        <v>35.753304</v>
      </c>
      <c r="AF18">
        <f>MEDIAN('V1'!AF26,'V2'!AF26,'V3'!AF26,'V4'!AF26,'V5'!AF26)</f>
        <v>13480</v>
      </c>
      <c r="AG18">
        <f>MEDIAN('V1'!AG26,'V2'!AG26,'V3'!AG26,'V4'!AG26,'V5'!AG26)</f>
        <v>14120</v>
      </c>
      <c r="AH18">
        <f>MEDIAN('V1'!AH26,'V2'!AH26,'V3'!AH26,'V4'!AH26,'V5'!AH26)</f>
        <v>46305</v>
      </c>
      <c r="AI18">
        <f>MEDIAN('V1'!AI26,'V2'!AI26,'V3'!AI26,'V4'!AI26,'V5'!AI26)</f>
        <v>46305</v>
      </c>
      <c r="AJ18" t="e">
        <f>MEDIAN('V1'!AJ26,'V2'!AJ26,'V3'!AJ26,'V4'!AJ26,'V5'!AJ26)</f>
        <v>#NUM!</v>
      </c>
      <c r="AK18" t="e">
        <f>MEDIAN('V1'!AK26,'V2'!AK26,'V3'!AK26,'V4'!AK26,'V5'!AK26)</f>
        <v>#NUM!</v>
      </c>
      <c r="AL18" t="e">
        <f>MEDIAN('V1'!AL26,'V2'!AL26,'V3'!AL26,'V4'!AL26,'V5'!AL26)</f>
        <v>#NUM!</v>
      </c>
      <c r="AM18" t="e">
        <f>MEDIAN('V1'!AM26,'V2'!AM26,'V3'!AM26,'V4'!AM26,'V5'!AM26)</f>
        <v>#NUM!</v>
      </c>
    </row>
    <row r="19" spans="1:39" x14ac:dyDescent="0.2">
      <c r="A19" s="1">
        <v>0</v>
      </c>
      <c r="B19" s="51">
        <v>2.1800000000000002</v>
      </c>
      <c r="C19" s="51" t="s">
        <v>62</v>
      </c>
      <c r="D19" s="2" t="s">
        <v>44</v>
      </c>
      <c r="E19">
        <f>MEDIAN('V1'!E27,'V2'!F27,'V3'!F27,'V4'!F27,'V5'!F27)</f>
        <v>1596</v>
      </c>
      <c r="F19">
        <f>MEDIAN('V1'!F27,'V2'!F27,'V3'!F27,'V4'!F27,'V5'!F27)</f>
        <v>1605</v>
      </c>
      <c r="G19">
        <f>MEDIAN('V1'!G27,'V2'!G27,'V3'!G27,'V4'!G27,'V5'!G27)</f>
        <v>85.123101100052395</v>
      </c>
      <c r="H19">
        <f>MEDIAN('V1'!H27,'V2'!H27,'V3'!H27,'V4'!H27,'V5'!H27)</f>
        <v>281</v>
      </c>
      <c r="I19">
        <f>MEDIAN('V1'!I27,'V2'!I27,'V3'!I27,'V4'!I27,'V5'!I27)</f>
        <v>85.147874306839199</v>
      </c>
      <c r="J19">
        <f>MEDIAN('V1'!J27,'V2'!J27,'V3'!J27,'V4'!J27,'V5'!J27)</f>
        <v>14.833641404805901</v>
      </c>
      <c r="K19">
        <f>MEDIAN('V1'!K27,'V2'!K27,'V3'!K27,'V4'!K27,'V5'!K27)</f>
        <v>68.671997819432306</v>
      </c>
      <c r="L19">
        <f>MEDIAN('V1'!L27,'V2'!L27,'V3'!L27,'V4'!L27,'V5'!L27)</f>
        <v>85.166358595194097</v>
      </c>
      <c r="M19">
        <f>MEDIAN('V1'!M27,'V2'!M27,'V3'!M27,'V4'!M27,'V5'!M27)</f>
        <v>84.067092276973497</v>
      </c>
      <c r="N19">
        <f>MEDIAN('V1'!N27,'V2'!N27,'V3'!N27,'V4'!N27,'V5'!N27)</f>
        <v>51.232138737919101</v>
      </c>
      <c r="O19">
        <f>MEDIAN('V1'!O27,'V2'!O27,'V3'!O27,'V4'!O27,'V5'!O27)</f>
        <v>85.166358595194097</v>
      </c>
      <c r="P19">
        <f>MEDIAN('V1'!P27,'V2'!P27,'V3'!P27,'V4'!P27,'V5'!P27)</f>
        <v>85.166358595194097</v>
      </c>
      <c r="Q19">
        <f>MEDIAN('V1'!Q27,'V2'!Q27,'V3'!Q27,'V4'!Q27,'V5'!Q27)</f>
        <v>55.808795536037202</v>
      </c>
      <c r="R19">
        <f>MEDIAN('V1'!R27,'V2'!R27,'V3'!R27,'V4'!R27,'V5'!R27)</f>
        <v>85.249537892791096</v>
      </c>
      <c r="S19">
        <f>MEDIAN('V1'!S27,'V2'!S27,'V3'!S27,'V4'!S27,'V5'!S27)</f>
        <v>79.107487305097095</v>
      </c>
      <c r="T19">
        <f>MEDIAN('V1'!T27,'V2'!T27,'V3'!T27,'V4'!T27,'V5'!T27)</f>
        <v>14.7983237297014</v>
      </c>
      <c r="U19">
        <f>MEDIAN('V1'!U27,'V2'!U27,'V3'!U27,'V4'!U27,'V5'!U27)</f>
        <v>92.628541448058797</v>
      </c>
      <c r="V19">
        <f>MEDIAN('V1'!V27,'V2'!V27,'V3'!V27,'V4'!V27,'V5'!V27)</f>
        <v>85.201676270298606</v>
      </c>
      <c r="W19">
        <f>MEDIAN('V1'!W27,'V2'!W27,'V3'!W27,'V4'!W27,'V5'!W27)</f>
        <v>87.450371768565205</v>
      </c>
      <c r="X19">
        <f>MEDIAN('V1'!X27,'V2'!X27,'V3'!X27,'V4'!X27,'V5'!X27)</f>
        <v>50.528169014084497</v>
      </c>
      <c r="Y19">
        <f>MEDIAN('V1'!Y27,'V2'!Y27,'V3'!Y27,'V4'!Y27,'V5'!Y27)</f>
        <v>85.123101100052395</v>
      </c>
      <c r="Z19">
        <f>MEDIAN('V1'!Z27,'V2'!Z27,'V3'!Z27,'V4'!Z27,'V5'!Z27)</f>
        <v>85.123101100052395</v>
      </c>
      <c r="AA19">
        <f>MEDIAN('V1'!AA27,'V2'!AA27,'V3'!AA27,'V4'!AA27,'V5'!AA27)</f>
        <v>47.066253403157901</v>
      </c>
      <c r="AB19">
        <f>MEDIAN('V1'!AB27,'V2'!AB27,'V3'!AB27,'V4'!AB27,'V5'!AB27)</f>
        <v>85.123101100052395</v>
      </c>
      <c r="AC19">
        <f>MEDIAN('V1'!AC27,'V2'!AC27,'V3'!AC27,'V4'!AC27,'V5'!AC27)</f>
        <v>78.659947218284799</v>
      </c>
      <c r="AD19">
        <f>MEDIAN('V1'!AD27,'V2'!AD27,'V3'!AD27,'V4'!AD27,'V5'!AD27)</f>
        <v>755956.12380353501</v>
      </c>
      <c r="AE19">
        <f>MEDIAN('V1'!AE27,'V2'!AE27,'V3'!AE27,'V4'!AE27,'V5'!AE27)</f>
        <v>1.4101220000000001</v>
      </c>
      <c r="AF19">
        <f>MEDIAN('V1'!AF27,'V2'!AF27,'V3'!AF27,'V4'!AF27,'V5'!AF27)</f>
        <v>5063</v>
      </c>
      <c r="AG19">
        <f>MEDIAN('V1'!AG27,'V2'!AG27,'V3'!AG27,'V4'!AG27,'V5'!AG27)</f>
        <v>3548</v>
      </c>
      <c r="AH19">
        <f>MEDIAN('V1'!AH27,'V2'!AH27,'V3'!AH27,'V4'!AH27,'V5'!AH27)</f>
        <v>46305</v>
      </c>
      <c r="AI19">
        <f>MEDIAN('V1'!AI27,'V2'!AI27,'V3'!AI27,'V4'!AI27,'V5'!AI27)</f>
        <v>46305</v>
      </c>
      <c r="AJ19" t="e">
        <f>MEDIAN('V1'!AJ27,'V2'!AJ27,'V3'!AJ27,'V4'!AJ27,'V5'!AJ27)</f>
        <v>#NUM!</v>
      </c>
      <c r="AK19" t="e">
        <f>MEDIAN('V1'!AK27,'V2'!AK27,'V3'!AK27,'V4'!AK27,'V5'!AK27)</f>
        <v>#NUM!</v>
      </c>
      <c r="AL19" t="e">
        <f>MEDIAN('V1'!AL27,'V2'!AL27,'V3'!AL27,'V4'!AL27,'V5'!AL27)</f>
        <v>#NUM!</v>
      </c>
      <c r="AM19" t="e">
        <f>MEDIAN('V1'!AM27,'V2'!AM27,'V3'!AM27,'V4'!AM27,'V5'!AM27)</f>
        <v>#NUM!</v>
      </c>
    </row>
    <row r="20" spans="1:39" x14ac:dyDescent="0.2">
      <c r="A20" s="1">
        <v>0</v>
      </c>
      <c r="B20" s="51">
        <v>2.19</v>
      </c>
      <c r="C20" s="51" t="s">
        <v>62</v>
      </c>
      <c r="D20" s="2" t="s">
        <v>44</v>
      </c>
      <c r="E20">
        <f>MEDIAN('V1'!E28,'V2'!F28,'V3'!F28,'V4'!F28,'V5'!F28)</f>
        <v>1553</v>
      </c>
      <c r="F20">
        <f>MEDIAN('V1'!F28,'V2'!F28,'V3'!F28,'V4'!F28,'V5'!F28)</f>
        <v>1553</v>
      </c>
      <c r="G20">
        <f>MEDIAN('V1'!G28,'V2'!G28,'V3'!G28,'V4'!G28,'V5'!G28)</f>
        <v>86.013619696175994</v>
      </c>
      <c r="H20">
        <f>MEDIAN('V1'!H28,'V2'!H28,'V3'!H28,'V4'!H28,'V5'!H28)</f>
        <v>267</v>
      </c>
      <c r="I20">
        <f>MEDIAN('V1'!I28,'V2'!I28,'V3'!I28,'V4'!I28,'V5'!I28)</f>
        <v>85.674676524953796</v>
      </c>
      <c r="J20">
        <f>MEDIAN('V1'!J28,'V2'!J28,'V3'!J28,'V4'!J28,'V5'!J28)</f>
        <v>14.353049907578599</v>
      </c>
      <c r="K20">
        <f>MEDIAN('V1'!K28,'V2'!K28,'V3'!K28,'V4'!K28,'V5'!K28)</f>
        <v>72.138528644225701</v>
      </c>
      <c r="L20">
        <f>MEDIAN('V1'!L28,'V2'!L28,'V3'!L28,'V4'!L28,'V5'!L28)</f>
        <v>85.646950092421406</v>
      </c>
      <c r="M20">
        <f>MEDIAN('V1'!M28,'V2'!M28,'V3'!M28,'V4'!M28,'V5'!M28)</f>
        <v>82.356609636109297</v>
      </c>
      <c r="N20">
        <f>MEDIAN('V1'!N28,'V2'!N28,'V3'!N28,'V4'!N28,'V5'!N28)</f>
        <v>56.051930784106197</v>
      </c>
      <c r="O20">
        <f>MEDIAN('V1'!O28,'V2'!O28,'V3'!O28,'V4'!O28,'V5'!O28)</f>
        <v>85.646950092421406</v>
      </c>
      <c r="P20">
        <f>MEDIAN('V1'!P28,'V2'!P28,'V3'!P28,'V4'!P28,'V5'!P28)</f>
        <v>85.646950092421406</v>
      </c>
      <c r="Q20">
        <f>MEDIAN('V1'!Q28,'V2'!Q28,'V3'!Q28,'V4'!Q28,'V5'!Q28)</f>
        <v>57.240535493748098</v>
      </c>
      <c r="R20">
        <f>MEDIAN('V1'!R28,'V2'!R28,'V3'!R28,'V4'!R28,'V5'!R28)</f>
        <v>85.646950092421406</v>
      </c>
      <c r="S20">
        <f>MEDIAN('V1'!S28,'V2'!S28,'V3'!S28,'V4'!S28,'V5'!S28)</f>
        <v>81.707609458088996</v>
      </c>
      <c r="T20">
        <f>MEDIAN('V1'!T28,'V2'!T28,'V3'!T28,'V4'!T28,'V5'!T28)</f>
        <v>13.986380303823999</v>
      </c>
      <c r="U20">
        <f>MEDIAN('V1'!U28,'V2'!U28,'V3'!U28,'V4'!U28,'V5'!U28)</f>
        <v>75.787673828199004</v>
      </c>
      <c r="V20">
        <f>MEDIAN('V1'!V28,'V2'!V28,'V3'!V28,'V4'!V28,'V5'!V28)</f>
        <v>86.013619696175994</v>
      </c>
      <c r="W20">
        <f>MEDIAN('V1'!W28,'V2'!W28,'V3'!W28,'V4'!W28,'V5'!W28)</f>
        <v>83.244936266806306</v>
      </c>
      <c r="X20">
        <f>MEDIAN('V1'!X28,'V2'!X28,'V3'!X28,'V4'!X28,'V5'!X28)</f>
        <v>55.980036297640702</v>
      </c>
      <c r="Y20">
        <f>MEDIAN('V1'!Y28,'V2'!Y28,'V3'!Y28,'V4'!Y28,'V5'!Y28)</f>
        <v>86.013619696175994</v>
      </c>
      <c r="Z20">
        <f>MEDIAN('V1'!Z28,'V2'!Z28,'V3'!Z28,'V4'!Z28,'V5'!Z28)</f>
        <v>86.013619696175994</v>
      </c>
      <c r="AA20">
        <f>MEDIAN('V1'!AA28,'V2'!AA28,'V3'!AA28,'V4'!AA28,'V5'!AA28)</f>
        <v>57.1268622462362</v>
      </c>
      <c r="AB20">
        <f>MEDIAN('V1'!AB28,'V2'!AB28,'V3'!AB28,'V4'!AB28,'V5'!AB28)</f>
        <v>86.013619696175994</v>
      </c>
      <c r="AC20">
        <f>MEDIAN('V1'!AC28,'V2'!AC28,'V3'!AC28,'V4'!AC28,'V5'!AC28)</f>
        <v>81.814887466010006</v>
      </c>
      <c r="AD20">
        <f>MEDIAN('V1'!AD28,'V2'!AD28,'V3'!AD28,'V4'!AD28,'V5'!AD28)</f>
        <v>574127.13573172002</v>
      </c>
      <c r="AE20">
        <f>MEDIAN('V1'!AE28,'V2'!AE28,'V3'!AE28,'V4'!AE28,'V5'!AE28)</f>
        <v>2.860433</v>
      </c>
      <c r="AF20">
        <f>MEDIAN('V1'!AF28,'V2'!AF28,'V3'!AF28,'V4'!AF28,'V5'!AF28)</f>
        <v>2486822</v>
      </c>
      <c r="AG20">
        <f>MEDIAN('V1'!AG28,'V2'!AG28,'V3'!AG28,'V4'!AG28,'V5'!AG28)</f>
        <v>6001</v>
      </c>
      <c r="AH20">
        <f>MEDIAN('V1'!AH28,'V2'!AH28,'V3'!AH28,'V4'!AH28,'V5'!AH28)</f>
        <v>46305</v>
      </c>
      <c r="AI20">
        <f>MEDIAN('V1'!AI28,'V2'!AI28,'V3'!AI28,'V4'!AI28,'V5'!AI28)</f>
        <v>46305</v>
      </c>
      <c r="AJ20" t="e">
        <f>MEDIAN('V1'!AJ28,'V2'!AJ28,'V3'!AJ28,'V4'!AJ28,'V5'!AJ28)</f>
        <v>#NUM!</v>
      </c>
      <c r="AK20" t="e">
        <f>MEDIAN('V1'!AK28,'V2'!AK28,'V3'!AK28,'V4'!AK28,'V5'!AK28)</f>
        <v>#NUM!</v>
      </c>
      <c r="AL20" t="e">
        <f>MEDIAN('V1'!AL28,'V2'!AL28,'V3'!AL28,'V4'!AL28,'V5'!AL28)</f>
        <v>#NUM!</v>
      </c>
      <c r="AM20" t="e">
        <f>MEDIAN('V1'!AM28,'V2'!AM28,'V3'!AM28,'V4'!AM28,'V5'!AM28)</f>
        <v>#NUM!</v>
      </c>
    </row>
    <row r="21" spans="1:39" x14ac:dyDescent="0.2">
      <c r="A21" s="1">
        <v>0</v>
      </c>
      <c r="B21" s="51">
        <v>2.2000000000000002</v>
      </c>
      <c r="C21" s="51" t="s">
        <v>45</v>
      </c>
      <c r="D21" s="2" t="s">
        <v>44</v>
      </c>
      <c r="E21">
        <f>MEDIAN('V1'!E11,'V2'!F11,'V3'!F11,'V4'!F11,'V5'!F11)</f>
        <v>1612</v>
      </c>
      <c r="F21">
        <f>MEDIAN('V1'!F11,'V2'!F11,'V3'!F11,'V4'!F11,'V5'!F11)</f>
        <v>1612</v>
      </c>
      <c r="G21">
        <f>MEDIAN('V1'!G11,'V2'!G11,'V3'!G11,'V4'!G11,'V5'!G11)</f>
        <v>85.123101100052395</v>
      </c>
      <c r="H21">
        <f>MEDIAN('V1'!H11,'V2'!H11,'V3'!H11,'V4'!H11,'V5'!H11)</f>
        <v>284</v>
      </c>
      <c r="I21">
        <f>MEDIAN('V1'!I11,'V2'!I11,'V3'!I11,'V4'!I11,'V5'!I11)</f>
        <v>85.101663585951897</v>
      </c>
      <c r="J21">
        <f>MEDIAN('V1'!J11,'V2'!J11,'V3'!J11,'V4'!J11,'V5'!J11)</f>
        <v>14.898336414048099</v>
      </c>
      <c r="K21">
        <f>MEDIAN('V1'!K11,'V2'!K11,'V3'!K11,'V4'!K11,'V5'!K11)</f>
        <v>50</v>
      </c>
      <c r="L21">
        <f>MEDIAN('V1'!L11,'V2'!L11,'V3'!L11,'V4'!L11,'V5'!L11)</f>
        <v>85.101663585951897</v>
      </c>
      <c r="M21">
        <f>MEDIAN('V1'!M11,'V2'!M11,'V3'!M11,'V4'!M11,'V5'!M11)</f>
        <v>85.101663585951897</v>
      </c>
      <c r="N21">
        <f>MEDIAN('V1'!N11,'V2'!N11,'V3'!N11,'V4'!N11,'V5'!N11)</f>
        <v>50</v>
      </c>
      <c r="O21">
        <f>MEDIAN('V1'!O11,'V2'!O11,'V3'!O11,'V4'!O11,'V5'!O11)</f>
        <v>85.101663585951897</v>
      </c>
      <c r="P21">
        <f>MEDIAN('V1'!P11,'V2'!P11,'V3'!P11,'V4'!P11,'V5'!P11)</f>
        <v>85.101663585951897</v>
      </c>
      <c r="Q21">
        <f>MEDIAN('V1'!Q11,'V2'!Q11,'V3'!Q11,'V4'!Q11,'V5'!Q11)</f>
        <v>45.975634112242901</v>
      </c>
      <c r="R21">
        <f>MEDIAN('V1'!R11,'V2'!R11,'V3'!R11,'V4'!R11,'V5'!R11)</f>
        <v>85.101663585951897</v>
      </c>
      <c r="S21">
        <f>MEDIAN('V1'!S11,'V2'!S11,'V3'!S11,'V4'!S11,'V5'!S11)</f>
        <v>78.252058947418206</v>
      </c>
      <c r="T21">
        <f>MEDIAN('V1'!T11,'V2'!T11,'V3'!T11,'V4'!T11,'V5'!T11)</f>
        <v>14.8768988999476</v>
      </c>
      <c r="U21">
        <f>MEDIAN('V1'!U11,'V2'!U11,'V3'!U11,'V4'!U11,'V5'!U11)</f>
        <v>85.123101100052395</v>
      </c>
      <c r="V21">
        <f>MEDIAN('V1'!V11,'V2'!V11,'V3'!V11,'V4'!V11,'V5'!V11)</f>
        <v>85.123101100052395</v>
      </c>
      <c r="W21">
        <f>MEDIAN('V1'!W11,'V2'!W11,'V3'!W11,'V4'!W11,'V5'!W11)</f>
        <v>50</v>
      </c>
      <c r="X21">
        <f>MEDIAN('V1'!X11,'V2'!X11,'V3'!X11,'V4'!X11,'V5'!X11)</f>
        <v>50</v>
      </c>
      <c r="Y21">
        <f>MEDIAN('V1'!Y11,'V2'!Y11,'V3'!Y11,'V4'!Y11,'V5'!Y11)</f>
        <v>85.123101100052395</v>
      </c>
      <c r="Z21">
        <f>MEDIAN('V1'!Z11,'V2'!Z11,'V3'!Z11,'V4'!Z11,'V5'!Z11)</f>
        <v>85.123101100052395</v>
      </c>
      <c r="AA21">
        <f>MEDIAN('V1'!AA11,'V2'!AA11,'V3'!AA11,'V4'!AA11,'V5'!AA11)</f>
        <v>45.9818902093945</v>
      </c>
      <c r="AB21">
        <f>MEDIAN('V1'!AB11,'V2'!AB11,'V3'!AB11,'V4'!AB11,'V5'!AB11)</f>
        <v>85.123101100052395</v>
      </c>
      <c r="AC21">
        <f>MEDIAN('V1'!AC11,'V2'!AC11,'V3'!AC11,'V4'!AC11,'V5'!AC11)</f>
        <v>78.282421781315904</v>
      </c>
      <c r="AD21">
        <f>MEDIAN('V1'!AD11,'V2'!AD11,'V3'!AD11,'V4'!AD11,'V5'!AD11)</f>
        <v>11833.0511773995</v>
      </c>
      <c r="AE21">
        <f>MEDIAN('V1'!AE11,'V2'!AE11,'V3'!AE11,'V4'!AE11,'V5'!AE11)</f>
        <v>62.572848</v>
      </c>
      <c r="AF21">
        <f>MEDIAN('V1'!AF11,'V2'!AF11,'V3'!AF11,'V4'!AF11,'V5'!AF11)</f>
        <v>518403</v>
      </c>
      <c r="AG21">
        <f>MEDIAN('V1'!AG11,'V2'!AG11,'V3'!AG11,'V4'!AG11,'V5'!AG11)</f>
        <v>516410</v>
      </c>
      <c r="AH21">
        <f>MEDIAN('V1'!AH11,'V2'!AH11,'V3'!AH11,'V4'!AH11,'V5'!AH11)</f>
        <v>46305</v>
      </c>
      <c r="AI21">
        <f>MEDIAN('V1'!AI11,'V2'!AI11,'V3'!AI11,'V4'!AI11,'V5'!AI11)</f>
        <v>46305</v>
      </c>
      <c r="AJ21" t="e">
        <f>MEDIAN('V1'!AJ11,'V2'!AJ11,'V3'!AJ11,'V4'!AJ11,'V5'!AJ11)</f>
        <v>#NUM!</v>
      </c>
      <c r="AK21" t="e">
        <f>MEDIAN('V1'!AK11,'V2'!AK11,'V3'!AK11,'V4'!AK11,'V5'!AK11)</f>
        <v>#NUM!</v>
      </c>
      <c r="AL21" t="e">
        <f>MEDIAN('V1'!AL11,'V2'!AL11,'V3'!AL11,'V4'!AL11,'V5'!AL11)</f>
        <v>#NUM!</v>
      </c>
      <c r="AM21" t="e">
        <f>MEDIAN('V1'!AM11,'V2'!AM11,'V3'!AM11,'V4'!AM11,'V5'!AM11)</f>
        <v>#NUM!</v>
      </c>
    </row>
    <row r="22" spans="1:39" x14ac:dyDescent="0.2">
      <c r="A22" s="1">
        <v>0</v>
      </c>
      <c r="B22" s="51">
        <v>2.2000000000000002</v>
      </c>
      <c r="C22" s="51" t="s">
        <v>62</v>
      </c>
      <c r="D22" s="2" t="s">
        <v>44</v>
      </c>
      <c r="E22">
        <f>MEDIAN('V1'!E29,'V2'!F29,'V3'!F29,'V4'!F29,'V5'!F29)</f>
        <v>1612</v>
      </c>
      <c r="F22">
        <f>MEDIAN('V1'!F29,'V2'!F29,'V3'!F29,'V4'!F29,'V5'!F29)</f>
        <v>1612</v>
      </c>
      <c r="G22">
        <f>MEDIAN('V1'!G29,'V2'!G29,'V3'!G29,'V4'!G29,'V5'!G29)</f>
        <v>85.123101100052395</v>
      </c>
      <c r="H22">
        <f>MEDIAN('V1'!H29,'V2'!H29,'V3'!H29,'V4'!H29,'V5'!H29)</f>
        <v>284</v>
      </c>
      <c r="I22">
        <f>MEDIAN('V1'!I29,'V2'!I29,'V3'!I29,'V4'!I29,'V5'!I29)</f>
        <v>85.101663585951897</v>
      </c>
      <c r="J22">
        <f>MEDIAN('V1'!J29,'V2'!J29,'V3'!J29,'V4'!J29,'V5'!J29)</f>
        <v>14.898336414048099</v>
      </c>
      <c r="K22">
        <f>MEDIAN('V1'!K29,'V2'!K29,'V3'!K29,'V4'!K29,'V5'!K29)</f>
        <v>50</v>
      </c>
      <c r="L22">
        <f>MEDIAN('V1'!L29,'V2'!L29,'V3'!L29,'V4'!L29,'V5'!L29)</f>
        <v>85.101663585951897</v>
      </c>
      <c r="M22">
        <f>MEDIAN('V1'!M29,'V2'!M29,'V3'!M29,'V4'!M29,'V5'!M29)</f>
        <v>85.101663585951897</v>
      </c>
      <c r="N22">
        <f>MEDIAN('V1'!N29,'V2'!N29,'V3'!N29,'V4'!N29,'V5'!N29)</f>
        <v>50</v>
      </c>
      <c r="O22">
        <f>MEDIAN('V1'!O29,'V2'!O29,'V3'!O29,'V4'!O29,'V5'!O29)</f>
        <v>85.101663585951897</v>
      </c>
      <c r="P22">
        <f>MEDIAN('V1'!P29,'V2'!P29,'V3'!P29,'V4'!P29,'V5'!P29)</f>
        <v>85.101663585951897</v>
      </c>
      <c r="Q22">
        <f>MEDIAN('V1'!Q29,'V2'!Q29,'V3'!Q29,'V4'!Q29,'V5'!Q29)</f>
        <v>45.975634112242901</v>
      </c>
      <c r="R22">
        <f>MEDIAN('V1'!R29,'V2'!R29,'V3'!R29,'V4'!R29,'V5'!R29)</f>
        <v>85.101663585951897</v>
      </c>
      <c r="S22">
        <f>MEDIAN('V1'!S29,'V2'!S29,'V3'!S29,'V4'!S29,'V5'!S29)</f>
        <v>78.252058947418206</v>
      </c>
      <c r="T22">
        <f>MEDIAN('V1'!T29,'V2'!T29,'V3'!T29,'V4'!T29,'V5'!T29)</f>
        <v>14.8768988999476</v>
      </c>
      <c r="U22">
        <f>MEDIAN('V1'!U29,'V2'!U29,'V3'!U29,'V4'!U29,'V5'!U29)</f>
        <v>85.123101100052395</v>
      </c>
      <c r="V22">
        <f>MEDIAN('V1'!V29,'V2'!V29,'V3'!V29,'V4'!V29,'V5'!V29)</f>
        <v>85.123101100052395</v>
      </c>
      <c r="W22">
        <f>MEDIAN('V1'!W29,'V2'!W29,'V3'!W29,'V4'!W29,'V5'!W29)</f>
        <v>50</v>
      </c>
      <c r="X22">
        <f>MEDIAN('V1'!X29,'V2'!X29,'V3'!X29,'V4'!X29,'V5'!X29)</f>
        <v>50</v>
      </c>
      <c r="Y22">
        <f>MEDIAN('V1'!Y29,'V2'!Y29,'V3'!Y29,'V4'!Y29,'V5'!Y29)</f>
        <v>85.123101100052395</v>
      </c>
      <c r="Z22">
        <f>MEDIAN('V1'!Z29,'V2'!Z29,'V3'!Z29,'V4'!Z29,'V5'!Z29)</f>
        <v>85.123101100052395</v>
      </c>
      <c r="AA22">
        <f>MEDIAN('V1'!AA29,'V2'!AA29,'V3'!AA29,'V4'!AA29,'V5'!AA29)</f>
        <v>45.9818902093945</v>
      </c>
      <c r="AB22">
        <f>MEDIAN('V1'!AB29,'V2'!AB29,'V3'!AB29,'V4'!AB29,'V5'!AB29)</f>
        <v>85.123101100052395</v>
      </c>
      <c r="AC22">
        <f>MEDIAN('V1'!AC29,'V2'!AC29,'V3'!AC29,'V4'!AC29,'V5'!AC29)</f>
        <v>78.282421781315904</v>
      </c>
      <c r="AD22">
        <f>MEDIAN('V1'!AD29,'V2'!AD29,'V3'!AD29,'V4'!AD29,'V5'!AD29)</f>
        <v>701458.67098865495</v>
      </c>
      <c r="AE22">
        <f>MEDIAN('V1'!AE29,'V2'!AE29,'V3'!AE29,'V4'!AE29,'V5'!AE29)</f>
        <v>1.0630630000000001</v>
      </c>
      <c r="AF22">
        <f>MEDIAN('V1'!AF29,'V2'!AF29,'V3'!AF29,'V4'!AF29,'V5'!AF29)</f>
        <v>11632</v>
      </c>
      <c r="AG22">
        <f>MEDIAN('V1'!AG29,'V2'!AG29,'V3'!AG29,'V4'!AG29,'V5'!AG29)</f>
        <v>3496</v>
      </c>
      <c r="AH22">
        <f>MEDIAN('V1'!AH29,'V2'!AH29,'V3'!AH29,'V4'!AH29,'V5'!AH29)</f>
        <v>46305</v>
      </c>
      <c r="AI22">
        <f>MEDIAN('V1'!AI29,'V2'!AI29,'V3'!AI29,'V4'!AI29,'V5'!AI29)</f>
        <v>46305</v>
      </c>
      <c r="AJ22" t="e">
        <f>MEDIAN('V1'!AJ29,'V2'!AJ29,'V3'!AJ29,'V4'!AJ29,'V5'!AJ29)</f>
        <v>#NUM!</v>
      </c>
      <c r="AK22" t="e">
        <f>MEDIAN('V1'!AK29,'V2'!AK29,'V3'!AK29,'V4'!AK29,'V5'!AK29)</f>
        <v>#NUM!</v>
      </c>
      <c r="AL22" t="e">
        <f>MEDIAN('V1'!AL29,'V2'!AL29,'V3'!AL29,'V4'!AL29,'V5'!AL29)</f>
        <v>#NUM!</v>
      </c>
      <c r="AM22" t="e">
        <f>MEDIAN('V1'!AM29,'V2'!AM29,'V3'!AM29,'V4'!AM29,'V5'!AM29)</f>
        <v>#NUM!</v>
      </c>
    </row>
    <row r="23" spans="1:39" x14ac:dyDescent="0.2">
      <c r="A23" s="1">
        <v>0</v>
      </c>
      <c r="B23" s="51">
        <v>2.21</v>
      </c>
      <c r="C23" s="51" t="s">
        <v>62</v>
      </c>
      <c r="D23" s="2" t="s">
        <v>44</v>
      </c>
      <c r="E23">
        <f>MEDIAN('V1'!E30,'V2'!F30,'V3'!F30,'V4'!F30,'V5'!F30)</f>
        <v>1612</v>
      </c>
      <c r="F23">
        <f>MEDIAN('V1'!F30,'V2'!F30,'V3'!F30,'V4'!F30,'V5'!F30)</f>
        <v>1612</v>
      </c>
      <c r="G23">
        <f>MEDIAN('V1'!G30,'V2'!G30,'V3'!G30,'V4'!G30,'V5'!G30)</f>
        <v>85.123101100052395</v>
      </c>
      <c r="H23">
        <f>MEDIAN('V1'!H30,'V2'!H30,'V3'!H30,'V4'!H30,'V5'!H30)</f>
        <v>284</v>
      </c>
      <c r="I23">
        <f>MEDIAN('V1'!I30,'V2'!I30,'V3'!I30,'V4'!I30,'V5'!I30)</f>
        <v>85.101663585951897</v>
      </c>
      <c r="J23">
        <f>MEDIAN('V1'!J30,'V2'!J30,'V3'!J30,'V4'!J30,'V5'!J30)</f>
        <v>14.898336414048099</v>
      </c>
      <c r="K23">
        <f>MEDIAN('V1'!K30,'V2'!K30,'V3'!K30,'V4'!K30,'V5'!K30)</f>
        <v>50</v>
      </c>
      <c r="L23">
        <f>MEDIAN('V1'!L30,'V2'!L30,'V3'!L30,'V4'!L30,'V5'!L30)</f>
        <v>85.101663585951897</v>
      </c>
      <c r="M23">
        <f>MEDIAN('V1'!M30,'V2'!M30,'V3'!M30,'V4'!M30,'V5'!M30)</f>
        <v>85.101663585951897</v>
      </c>
      <c r="N23">
        <f>MEDIAN('V1'!N30,'V2'!N30,'V3'!N30,'V4'!N30,'V5'!N30)</f>
        <v>50</v>
      </c>
      <c r="O23">
        <f>MEDIAN('V1'!O30,'V2'!O30,'V3'!O30,'V4'!O30,'V5'!O30)</f>
        <v>85.101663585951897</v>
      </c>
      <c r="P23">
        <f>MEDIAN('V1'!P30,'V2'!P30,'V3'!P30,'V4'!P30,'V5'!P30)</f>
        <v>85.101663585951897</v>
      </c>
      <c r="Q23">
        <f>MEDIAN('V1'!Q30,'V2'!Q30,'V3'!Q30,'V4'!Q30,'V5'!Q30)</f>
        <v>45.975634112242901</v>
      </c>
      <c r="R23">
        <f>MEDIAN('V1'!R30,'V2'!R30,'V3'!R30,'V4'!R30,'V5'!R30)</f>
        <v>85.101663585951897</v>
      </c>
      <c r="S23">
        <f>MEDIAN('V1'!S30,'V2'!S30,'V3'!S30,'V4'!S30,'V5'!S30)</f>
        <v>78.252058947418206</v>
      </c>
      <c r="T23">
        <f>MEDIAN('V1'!T30,'V2'!T30,'V3'!T30,'V4'!T30,'V5'!T30)</f>
        <v>14.8768988999476</v>
      </c>
      <c r="U23">
        <f>MEDIAN('V1'!U30,'V2'!U30,'V3'!U30,'V4'!U30,'V5'!U30)</f>
        <v>85.123101100052395</v>
      </c>
      <c r="V23">
        <f>MEDIAN('V1'!V30,'V2'!V30,'V3'!V30,'V4'!V30,'V5'!V30)</f>
        <v>85.123101100052395</v>
      </c>
      <c r="W23">
        <f>MEDIAN('V1'!W30,'V2'!W30,'V3'!W30,'V4'!W30,'V5'!W30)</f>
        <v>50</v>
      </c>
      <c r="X23">
        <f>MEDIAN('V1'!X30,'V2'!X30,'V3'!X30,'V4'!X30,'V5'!X30)</f>
        <v>50</v>
      </c>
      <c r="Y23">
        <f>MEDIAN('V1'!Y30,'V2'!Y30,'V3'!Y30,'V4'!Y30,'V5'!Y30)</f>
        <v>85.123101100052395</v>
      </c>
      <c r="Z23">
        <f>MEDIAN('V1'!Z30,'V2'!Z30,'V3'!Z30,'V4'!Z30,'V5'!Z30)</f>
        <v>85.123101100052395</v>
      </c>
      <c r="AA23">
        <f>MEDIAN('V1'!AA30,'V2'!AA30,'V3'!AA30,'V4'!AA30,'V5'!AA30)</f>
        <v>45.9818902093945</v>
      </c>
      <c r="AB23">
        <f>MEDIAN('V1'!AB30,'V2'!AB30,'V3'!AB30,'V4'!AB30,'V5'!AB30)</f>
        <v>85.123101100052395</v>
      </c>
      <c r="AC23">
        <f>MEDIAN('V1'!AC30,'V2'!AC30,'V3'!AC30,'V4'!AC30,'V5'!AC30)</f>
        <v>78.282421781315904</v>
      </c>
      <c r="AD23">
        <f>MEDIAN('V1'!AD30,'V2'!AD30,'V3'!AD30,'V4'!AD30,'V5'!AD30)</f>
        <v>718173.37050312001</v>
      </c>
      <c r="AE23">
        <f>MEDIAN('V1'!AE30,'V2'!AE30,'V3'!AE30,'V4'!AE30,'V5'!AE30)</f>
        <v>0.73260700000000001</v>
      </c>
      <c r="AF23">
        <f>MEDIAN('V1'!AF30,'V2'!AF30,'V3'!AF30,'V4'!AF30,'V5'!AF30)</f>
        <v>11590</v>
      </c>
      <c r="AG23">
        <f>MEDIAN('V1'!AG30,'V2'!AG30,'V3'!AG30,'V4'!AG30,'V5'!AG30)</f>
        <v>3496</v>
      </c>
      <c r="AH23">
        <f>MEDIAN('V1'!AH30,'V2'!AH30,'V3'!AH30,'V4'!AH30,'V5'!AH30)</f>
        <v>46305</v>
      </c>
      <c r="AI23">
        <f>MEDIAN('V1'!AI30,'V2'!AI30,'V3'!AI30,'V4'!AI30,'V5'!AI30)</f>
        <v>46305</v>
      </c>
      <c r="AJ23" t="e">
        <f>MEDIAN('V1'!AJ30,'V2'!AJ30,'V3'!AJ30,'V4'!AJ30,'V5'!AJ30)</f>
        <v>#NUM!</v>
      </c>
      <c r="AK23" t="e">
        <f>MEDIAN('V1'!AK30,'V2'!AK30,'V3'!AK30,'V4'!AK30,'V5'!AK30)</f>
        <v>#NUM!</v>
      </c>
      <c r="AL23" t="e">
        <f>MEDIAN('V1'!AL30,'V2'!AL30,'V3'!AL30,'V4'!AL30,'V5'!AL30)</f>
        <v>#NUM!</v>
      </c>
      <c r="AM23" t="e">
        <f>MEDIAN('V1'!AM30,'V2'!AM30,'V3'!AM30,'V4'!AM30,'V5'!AM30)</f>
        <v>#NUM!</v>
      </c>
    </row>
    <row r="24" spans="1:39" x14ac:dyDescent="0.2">
      <c r="A24" s="1">
        <v>0</v>
      </c>
      <c r="B24" s="51">
        <v>2.2200000000000002</v>
      </c>
      <c r="C24" s="51" t="s">
        <v>62</v>
      </c>
      <c r="D24" s="2" t="s">
        <v>44</v>
      </c>
      <c r="E24">
        <f>MEDIAN('V1'!E31,'V2'!F31,'V3'!F31,'V4'!F31,'V5'!F31)</f>
        <v>1764</v>
      </c>
      <c r="F24">
        <f>MEDIAN('V1'!F31,'V2'!F31,'V3'!F31,'V4'!F31,'V5'!F31)</f>
        <v>1776</v>
      </c>
      <c r="G24">
        <f>MEDIAN('V1'!G31,'V2'!G31,'V3'!G31,'V4'!G31,'V5'!G31)</f>
        <v>83.918281822943996</v>
      </c>
      <c r="H24">
        <f>MEDIAN('V1'!H31,'V2'!H31,'V3'!H31,'V4'!H31,'V5'!H31)</f>
        <v>300</v>
      </c>
      <c r="I24">
        <f>MEDIAN('V1'!I31,'V2'!I31,'V3'!I31,'V4'!I31,'V5'!I31)</f>
        <v>83.585951940850293</v>
      </c>
      <c r="J24">
        <f>MEDIAN('V1'!J31,'V2'!J31,'V3'!J31,'V4'!J31,'V5'!J31)</f>
        <v>16.423290203327198</v>
      </c>
      <c r="K24">
        <f>MEDIAN('V1'!K31,'V2'!K31,'V3'!K31,'V4'!K31,'V5'!K31)</f>
        <v>64.847172511912206</v>
      </c>
      <c r="L24">
        <f>MEDIAN('V1'!L31,'V2'!L31,'V3'!L31,'V4'!L31,'V5'!L31)</f>
        <v>83.585951940850293</v>
      </c>
      <c r="M24">
        <f>MEDIAN('V1'!M31,'V2'!M31,'V3'!M31,'V4'!M31,'V5'!M31)</f>
        <v>81.131994186941796</v>
      </c>
      <c r="N24">
        <f>MEDIAN('V1'!N31,'V2'!N31,'V3'!N31,'V4'!N31,'V5'!N31)</f>
        <v>60.049237042770002</v>
      </c>
      <c r="O24">
        <f>MEDIAN('V1'!O31,'V2'!O31,'V3'!O31,'V4'!O31,'V5'!O31)</f>
        <v>83.585951940850293</v>
      </c>
      <c r="P24">
        <f>MEDIAN('V1'!P31,'V2'!P31,'V3'!P31,'V4'!P31,'V5'!P31)</f>
        <v>83.576709796672802</v>
      </c>
      <c r="Q24">
        <f>MEDIAN('V1'!Q31,'V2'!Q31,'V3'!Q31,'V4'!Q31,'V5'!Q31)</f>
        <v>61.622845908683203</v>
      </c>
      <c r="R24">
        <f>MEDIAN('V1'!R31,'V2'!R31,'V3'!R31,'V4'!R31,'V5'!R31)</f>
        <v>83.696857670979696</v>
      </c>
      <c r="S24">
        <f>MEDIAN('V1'!S31,'V2'!S31,'V3'!S31,'V4'!S31,'V5'!S31)</f>
        <v>81.947850142594106</v>
      </c>
      <c r="T24">
        <f>MEDIAN('V1'!T31,'V2'!T31,'V3'!T31,'V4'!T31,'V5'!T31)</f>
        <v>16.081718177056</v>
      </c>
      <c r="U24">
        <f>MEDIAN('V1'!U31,'V2'!U31,'V3'!U31,'V4'!U31,'V5'!U31)</f>
        <v>66.594951233505498</v>
      </c>
      <c r="V24">
        <f>MEDIAN('V1'!V31,'V2'!V31,'V3'!V31,'V4'!V31,'V5'!V31)</f>
        <v>83.918281822943996</v>
      </c>
      <c r="W24">
        <f>MEDIAN('V1'!W31,'V2'!W31,'V3'!W31,'V4'!W31,'V5'!W31)</f>
        <v>81.423537645225494</v>
      </c>
      <c r="X24">
        <f>MEDIAN('V1'!X31,'V2'!X31,'V3'!X31,'V4'!X31,'V5'!X31)</f>
        <v>60.404225352112697</v>
      </c>
      <c r="Y24">
        <f>MEDIAN('V1'!Y31,'V2'!Y31,'V3'!Y31,'V4'!Y31,'V5'!Y31)</f>
        <v>83.918281822943996</v>
      </c>
      <c r="Z24">
        <f>MEDIAN('V1'!Z31,'V2'!Z31,'V3'!Z31,'V4'!Z31,'V5'!Z31)</f>
        <v>83.918281822943996</v>
      </c>
      <c r="AA24">
        <f>MEDIAN('V1'!AA31,'V2'!AA31,'V3'!AA31,'V4'!AA31,'V5'!AA31)</f>
        <v>62.2129849564529</v>
      </c>
      <c r="AB24">
        <f>MEDIAN('V1'!AB31,'V2'!AB31,'V3'!AB31,'V4'!AB31,'V5'!AB31)</f>
        <v>83.918281822943996</v>
      </c>
      <c r="AC24">
        <f>MEDIAN('V1'!AC31,'V2'!AC31,'V3'!AC31,'V4'!AC31,'V5'!AC31)</f>
        <v>82.499843430315295</v>
      </c>
      <c r="AD24">
        <f>MEDIAN('V1'!AD31,'V2'!AD31,'V3'!AD31,'V4'!AD31,'V5'!AD31)</f>
        <v>514503.090822634</v>
      </c>
      <c r="AE24">
        <f>MEDIAN('V1'!AE31,'V2'!AE31,'V3'!AE31,'V4'!AE31,'V5'!AE31)</f>
        <v>1.078792</v>
      </c>
      <c r="AF24">
        <f>MEDIAN('V1'!AF31,'V2'!AF31,'V3'!AF31,'V4'!AF31,'V5'!AF31)</f>
        <v>8976</v>
      </c>
      <c r="AG24">
        <f>MEDIAN('V1'!AG31,'V2'!AG31,'V3'!AG31,'V4'!AG31,'V5'!AG31)</f>
        <v>7327</v>
      </c>
      <c r="AH24">
        <f>MEDIAN('V1'!AH31,'V2'!AH31,'V3'!AH31,'V4'!AH31,'V5'!AH31)</f>
        <v>46305</v>
      </c>
      <c r="AI24">
        <f>MEDIAN('V1'!AI31,'V2'!AI31,'V3'!AI31,'V4'!AI31,'V5'!AI31)</f>
        <v>46305</v>
      </c>
      <c r="AJ24" t="e">
        <f>MEDIAN('V1'!AJ31,'V2'!AJ31,'V3'!AJ31,'V4'!AJ31,'V5'!AJ31)</f>
        <v>#NUM!</v>
      </c>
      <c r="AK24" t="e">
        <f>MEDIAN('V1'!AK31,'V2'!AK31,'V3'!AK31,'V4'!AK31,'V5'!AK31)</f>
        <v>#NUM!</v>
      </c>
      <c r="AL24" t="e">
        <f>MEDIAN('V1'!AL31,'V2'!AL31,'V3'!AL31,'V4'!AL31,'V5'!AL31)</f>
        <v>#NUM!</v>
      </c>
      <c r="AM24" t="e">
        <f>MEDIAN('V1'!AM31,'V2'!AM31,'V3'!AM31,'V4'!AM31,'V5'!AM31)</f>
        <v>#NUM!</v>
      </c>
    </row>
    <row r="25" spans="1:39" x14ac:dyDescent="0.2">
      <c r="A25" s="1">
        <v>0</v>
      </c>
      <c r="B25" s="51">
        <v>2.23</v>
      </c>
      <c r="C25" s="51" t="s">
        <v>69</v>
      </c>
      <c r="D25" s="2" t="s">
        <v>44</v>
      </c>
      <c r="E25">
        <f>MEDIAN('V1'!E32,'V2'!F32,'V3'!F32,'V4'!F32,'V5'!F32)</f>
        <v>1727</v>
      </c>
      <c r="F25">
        <f>MEDIAN('V1'!F32,'V2'!F32,'V3'!F32,'V4'!F32,'V5'!F32)</f>
        <v>1741</v>
      </c>
      <c r="G25">
        <f>MEDIAN('V1'!G32,'V2'!G32,'V3'!G32,'V4'!G32,'V5'!G32)</f>
        <v>83.918281822943996</v>
      </c>
      <c r="H25">
        <f>MEDIAN('V1'!H32,'V2'!H32,'V3'!H32,'V4'!H32,'V5'!H32)</f>
        <v>298</v>
      </c>
      <c r="I25">
        <f>MEDIAN('V1'!I32,'V2'!I32,'V3'!I32,'V4'!I32,'V5'!I32)</f>
        <v>83.909426987060996</v>
      </c>
      <c r="J25">
        <f>MEDIAN('V1'!J32,'V2'!J32,'V3'!J32,'V4'!J32,'V5'!J32)</f>
        <v>16.1275415896488</v>
      </c>
      <c r="K25">
        <f>MEDIAN('V1'!K32,'V2'!K32,'V3'!K32,'V4'!K32,'V5'!K32)</f>
        <v>64.997888938643797</v>
      </c>
      <c r="L25">
        <f>MEDIAN('V1'!L32,'V2'!L32,'V3'!L32,'V4'!L32,'V5'!L32)</f>
        <v>83.909426987060996</v>
      </c>
      <c r="M25">
        <f>MEDIAN('V1'!M32,'V2'!M32,'V3'!M32,'V4'!M32,'V5'!M32)</f>
        <v>81.011399933284594</v>
      </c>
      <c r="N25">
        <f>MEDIAN('V1'!N32,'V2'!N32,'V3'!N32,'V4'!N32,'V5'!N32)</f>
        <v>58.926602285637898</v>
      </c>
      <c r="O25">
        <f>MEDIAN('V1'!O32,'V2'!O32,'V3'!O32,'V4'!O32,'V5'!O32)</f>
        <v>83.909426987060996</v>
      </c>
      <c r="P25">
        <f>MEDIAN('V1'!P32,'V2'!P32,'V3'!P32,'V4'!P32,'V5'!P32)</f>
        <v>83.8724584103512</v>
      </c>
      <c r="Q25">
        <f>MEDIAN('V1'!Q32,'V2'!Q32,'V3'!Q32,'V4'!Q32,'V5'!Q32)</f>
        <v>60.603663809632103</v>
      </c>
      <c r="R25">
        <f>MEDIAN('V1'!R32,'V2'!R32,'V3'!R32,'V4'!R32,'V5'!R32)</f>
        <v>84.038817005545297</v>
      </c>
      <c r="S25">
        <f>MEDIAN('V1'!S32,'V2'!S32,'V3'!S32,'V4'!S32,'V5'!S32)</f>
        <v>81.815852420494906</v>
      </c>
      <c r="T25">
        <f>MEDIAN('V1'!T32,'V2'!T32,'V3'!T32,'V4'!T32,'V5'!T32)</f>
        <v>16.081718177056</v>
      </c>
      <c r="U25">
        <f>MEDIAN('V1'!U32,'V2'!U32,'V3'!U32,'V4'!U32,'V5'!U32)</f>
        <v>66.253533069530803</v>
      </c>
      <c r="V25">
        <f>MEDIAN('V1'!V32,'V2'!V32,'V3'!V32,'V4'!V32,'V5'!V32)</f>
        <v>83.918281822943996</v>
      </c>
      <c r="W25">
        <f>MEDIAN('V1'!W32,'V2'!W32,'V3'!W32,'V4'!W32,'V5'!W32)</f>
        <v>81.133551655722201</v>
      </c>
      <c r="X25">
        <f>MEDIAN('V1'!X32,'V2'!X32,'V3'!X32,'V4'!X32,'V5'!X32)</f>
        <v>58.722318526543901</v>
      </c>
      <c r="Y25">
        <f>MEDIAN('V1'!Y32,'V2'!Y32,'V3'!Y32,'V4'!Y32,'V5'!Y32)</f>
        <v>84.180199057097994</v>
      </c>
      <c r="Z25">
        <f>MEDIAN('V1'!Z32,'V2'!Z32,'V3'!Z32,'V4'!Z32,'V5'!Z32)</f>
        <v>83.918281822943996</v>
      </c>
      <c r="AA25">
        <f>MEDIAN('V1'!AA32,'V2'!AA32,'V3'!AA32,'V4'!AA32,'V5'!AA32)</f>
        <v>60.468390389255198</v>
      </c>
      <c r="AB25">
        <f>MEDIAN('V1'!AB32,'V2'!AB32,'V3'!AB32,'V4'!AB32,'V5'!AB32)</f>
        <v>83.918281822943996</v>
      </c>
      <c r="AC25">
        <f>MEDIAN('V1'!AC32,'V2'!AC32,'V3'!AC32,'V4'!AC32,'V5'!AC32)</f>
        <v>82.070087515435404</v>
      </c>
      <c r="AD25">
        <f>MEDIAN('V1'!AD32,'V2'!AD32,'V3'!AD32,'V4'!AD32,'V5'!AD32)</f>
        <v>1042.26008222873</v>
      </c>
      <c r="AE25">
        <f>MEDIAN('V1'!AE32,'V2'!AE32,'V3'!AE32,'V4'!AE32,'V5'!AE32)</f>
        <v>48.834110000000003</v>
      </c>
      <c r="AF25">
        <f>MEDIAN('V1'!AF32,'V2'!AF32,'V3'!AF32,'V4'!AF32,'V5'!AF32)</f>
        <v>3155968</v>
      </c>
      <c r="AG25">
        <f>MEDIAN('V1'!AG32,'V2'!AG32,'V3'!AG32,'V4'!AG32,'V5'!AG32)</f>
        <v>1565693</v>
      </c>
      <c r="AH25">
        <f>MEDIAN('V1'!AH32,'V2'!AH32,'V3'!AH32,'V4'!AH32,'V5'!AH32)</f>
        <v>46305</v>
      </c>
      <c r="AI25">
        <f>MEDIAN('V1'!AI32,'V2'!AI32,'V3'!AI32,'V4'!AI32,'V5'!AI32)</f>
        <v>46305</v>
      </c>
      <c r="AJ25" t="e">
        <f>MEDIAN('V1'!AJ32,'V2'!AJ32,'V3'!AJ32,'V4'!AJ32,'V5'!AJ32)</f>
        <v>#NUM!</v>
      </c>
      <c r="AK25" t="e">
        <f>MEDIAN('V1'!AK32,'V2'!AK32,'V3'!AK32,'V4'!AK32,'V5'!AK32)</f>
        <v>#NUM!</v>
      </c>
      <c r="AL25" t="e">
        <f>MEDIAN('V1'!AL32,'V2'!AL32,'V3'!AL32,'V4'!AL32,'V5'!AL32)</f>
        <v>#NUM!</v>
      </c>
      <c r="AM25" t="e">
        <f>MEDIAN('V1'!AM32,'V2'!AM32,'V3'!AM32,'V4'!AM32,'V5'!AM32)</f>
        <v>#NUM!</v>
      </c>
    </row>
    <row r="26" spans="1:39" x14ac:dyDescent="0.2">
      <c r="A26" s="1">
        <v>0</v>
      </c>
      <c r="B26" s="51">
        <v>2.2400000000000002</v>
      </c>
      <c r="C26" s="51" t="s">
        <v>69</v>
      </c>
      <c r="D26" s="2" t="s">
        <v>44</v>
      </c>
      <c r="E26">
        <f>MEDIAN('V1'!E33,'V2'!F33,'V3'!F33,'V4'!F33,'V5'!F33)</f>
        <v>1612</v>
      </c>
      <c r="F26">
        <f>MEDIAN('V1'!F33,'V2'!F33,'V3'!F33,'V4'!F33,'V5'!F33)</f>
        <v>1612</v>
      </c>
      <c r="G26">
        <f>MEDIAN('V1'!G33,'V2'!G33,'V3'!G33,'V4'!G33,'V5'!G33)</f>
        <v>85.123101100052395</v>
      </c>
      <c r="H26">
        <f>MEDIAN('V1'!H33,'V2'!H33,'V3'!H33,'V4'!H33,'V5'!H33)</f>
        <v>284</v>
      </c>
      <c r="I26">
        <f>MEDIAN('V1'!I33,'V2'!I33,'V3'!I33,'V4'!I33,'V5'!I33)</f>
        <v>85.101663585951897</v>
      </c>
      <c r="J26">
        <f>MEDIAN('V1'!J33,'V2'!J33,'V3'!J33,'V4'!J33,'V5'!J33)</f>
        <v>14.898336414048099</v>
      </c>
      <c r="K26">
        <f>MEDIAN('V1'!K33,'V2'!K33,'V3'!K33,'V4'!K33,'V5'!K33)</f>
        <v>50</v>
      </c>
      <c r="L26">
        <f>MEDIAN('V1'!L33,'V2'!L33,'V3'!L33,'V4'!L33,'V5'!L33)</f>
        <v>85.101663585951897</v>
      </c>
      <c r="M26">
        <f>MEDIAN('V1'!M33,'V2'!M33,'V3'!M33,'V4'!M33,'V5'!M33)</f>
        <v>85.101663585951897</v>
      </c>
      <c r="N26">
        <f>MEDIAN('V1'!N33,'V2'!N33,'V3'!N33,'V4'!N33,'V5'!N33)</f>
        <v>50</v>
      </c>
      <c r="O26">
        <f>MEDIAN('V1'!O33,'V2'!O33,'V3'!O33,'V4'!O33,'V5'!O33)</f>
        <v>85.101663585951897</v>
      </c>
      <c r="P26">
        <f>MEDIAN('V1'!P33,'V2'!P33,'V3'!P33,'V4'!P33,'V5'!P33)</f>
        <v>85.101663585951897</v>
      </c>
      <c r="Q26">
        <f>MEDIAN('V1'!Q33,'V2'!Q33,'V3'!Q33,'V4'!Q33,'V5'!Q33)</f>
        <v>45.975634112242901</v>
      </c>
      <c r="R26">
        <f>MEDIAN('V1'!R33,'V2'!R33,'V3'!R33,'V4'!R33,'V5'!R33)</f>
        <v>85.101663585951897</v>
      </c>
      <c r="S26">
        <f>MEDIAN('V1'!S33,'V2'!S33,'V3'!S33,'V4'!S33,'V5'!S33)</f>
        <v>78.252058947418206</v>
      </c>
      <c r="T26">
        <f>MEDIAN('V1'!T33,'V2'!T33,'V3'!T33,'V4'!T33,'V5'!T33)</f>
        <v>14.8768988999476</v>
      </c>
      <c r="U26">
        <f>MEDIAN('V1'!U33,'V2'!U33,'V3'!U33,'V4'!U33,'V5'!U33)</f>
        <v>85.123101100052395</v>
      </c>
      <c r="V26">
        <f>MEDIAN('V1'!V33,'V2'!V33,'V3'!V33,'V4'!V33,'V5'!V33)</f>
        <v>85.123101100052395</v>
      </c>
      <c r="W26">
        <f>MEDIAN('V1'!W33,'V2'!W33,'V3'!W33,'V4'!W33,'V5'!W33)</f>
        <v>50</v>
      </c>
      <c r="X26">
        <f>MEDIAN('V1'!X33,'V2'!X33,'V3'!X33,'V4'!X33,'V5'!X33)</f>
        <v>50</v>
      </c>
      <c r="Y26">
        <f>MEDIAN('V1'!Y33,'V2'!Y33,'V3'!Y33,'V4'!Y33,'V5'!Y33)</f>
        <v>85.123101100052395</v>
      </c>
      <c r="Z26">
        <f>MEDIAN('V1'!Z33,'V2'!Z33,'V3'!Z33,'V4'!Z33,'V5'!Z33)</f>
        <v>85.123101100052395</v>
      </c>
      <c r="AA26">
        <f>MEDIAN('V1'!AA33,'V2'!AA33,'V3'!AA33,'V4'!AA33,'V5'!AA33)</f>
        <v>45.9818902093945</v>
      </c>
      <c r="AB26">
        <f>MEDIAN('V1'!AB33,'V2'!AB33,'V3'!AB33,'V4'!AB33,'V5'!AB33)</f>
        <v>85.123101100052395</v>
      </c>
      <c r="AC26">
        <f>MEDIAN('V1'!AC33,'V2'!AC33,'V3'!AC33,'V4'!AC33,'V5'!AC33)</f>
        <v>78.282421781315904</v>
      </c>
      <c r="AD26">
        <f>MEDIAN('V1'!AD33,'V2'!AD33,'V3'!AD33,'V4'!AD33,'V5'!AD33)</f>
        <v>83712.437718565299</v>
      </c>
      <c r="AE26">
        <f>MEDIAN('V1'!AE33,'V2'!AE33,'V3'!AE33,'V4'!AE33,'V5'!AE33)</f>
        <v>9.5558730000000001</v>
      </c>
      <c r="AF26">
        <f>MEDIAN('V1'!AF33,'V2'!AF33,'V3'!AF33,'V4'!AF33,'V5'!AF33)</f>
        <v>401619</v>
      </c>
      <c r="AG26">
        <f>MEDIAN('V1'!AG33,'V2'!AG33,'V3'!AG33,'V4'!AG33,'V5'!AG33)</f>
        <v>399590</v>
      </c>
      <c r="AH26">
        <f>MEDIAN('V1'!AH33,'V2'!AH33,'V3'!AH33,'V4'!AH33,'V5'!AH33)</f>
        <v>46305</v>
      </c>
      <c r="AI26">
        <f>MEDIAN('V1'!AI33,'V2'!AI33,'V3'!AI33,'V4'!AI33,'V5'!AI33)</f>
        <v>46305</v>
      </c>
      <c r="AJ26" t="e">
        <f>MEDIAN('V1'!AJ33,'V2'!AJ33,'V3'!AJ33,'V4'!AJ33,'V5'!AJ33)</f>
        <v>#NUM!</v>
      </c>
      <c r="AK26" t="e">
        <f>MEDIAN('V1'!AK33,'V2'!AK33,'V3'!AK33,'V4'!AK33,'V5'!AK33)</f>
        <v>#NUM!</v>
      </c>
      <c r="AL26" t="e">
        <f>MEDIAN('V1'!AL33,'V2'!AL33,'V3'!AL33,'V4'!AL33,'V5'!AL33)</f>
        <v>#NUM!</v>
      </c>
      <c r="AM26" t="e">
        <f>MEDIAN('V1'!AM33,'V2'!AM33,'V3'!AM33,'V4'!AM33,'V5'!AM33)</f>
        <v>#NUM!</v>
      </c>
    </row>
    <row r="27" spans="1:39" x14ac:dyDescent="0.2">
      <c r="A27" s="1">
        <v>0</v>
      </c>
      <c r="B27" s="51">
        <v>2.2999999999999998</v>
      </c>
      <c r="C27" s="51" t="s">
        <v>45</v>
      </c>
      <c r="D27" s="2" t="s">
        <v>44</v>
      </c>
      <c r="E27">
        <f>MEDIAN('V1'!E12,'V2'!F12,'V3'!F12,'V4'!F12,'V5'!F12)</f>
        <v>1559</v>
      </c>
      <c r="F27">
        <f>MEDIAN('V1'!F12,'V2'!F12,'V3'!F12,'V4'!F12,'V5'!F12)</f>
        <v>1560</v>
      </c>
      <c r="G27">
        <f>MEDIAN('V1'!G12,'V2'!G12,'V3'!G12,'V4'!G12,'V5'!G12)</f>
        <v>85.646935568360405</v>
      </c>
      <c r="H27">
        <f>MEDIAN('V1'!H12,'V2'!H12,'V3'!H12,'V4'!H12,'V5'!H12)</f>
        <v>274</v>
      </c>
      <c r="I27">
        <f>MEDIAN('V1'!I12,'V2'!I12,'V3'!I12,'V4'!I12,'V5'!I12)</f>
        <v>85.536044362292003</v>
      </c>
      <c r="J27">
        <f>MEDIAN('V1'!J12,'V2'!J12,'V3'!J12,'V4'!J12,'V5'!J12)</f>
        <v>14.4177449168207</v>
      </c>
      <c r="K27">
        <f>MEDIAN('V1'!K12,'V2'!K12,'V3'!K12,'V4'!K12,'V5'!K12)</f>
        <v>76.698257438304594</v>
      </c>
      <c r="L27">
        <f>MEDIAN('V1'!L12,'V2'!L12,'V3'!L12,'V4'!L12,'V5'!L12)</f>
        <v>85.582255083179305</v>
      </c>
      <c r="M27">
        <f>MEDIAN('V1'!M12,'V2'!M12,'V3'!M12,'V4'!M12,'V5'!M12)</f>
        <v>83.120870999593805</v>
      </c>
      <c r="N27">
        <f>MEDIAN('V1'!N12,'V2'!N12,'V3'!N12,'V4'!N12,'V5'!N12)</f>
        <v>52.8976987321414</v>
      </c>
      <c r="O27">
        <f>MEDIAN('V1'!O12,'V2'!O12,'V3'!O12,'V4'!O12,'V5'!O12)</f>
        <v>85.582255083179305</v>
      </c>
      <c r="P27">
        <f>MEDIAN('V1'!P12,'V2'!P12,'V3'!P12,'V4'!P12,'V5'!P12)</f>
        <v>85.582255083179305</v>
      </c>
      <c r="Q27">
        <f>MEDIAN('V1'!Q12,'V2'!Q12,'V3'!Q12,'V4'!Q12,'V5'!Q12)</f>
        <v>51.863974789253398</v>
      </c>
      <c r="R27">
        <f>MEDIAN('V1'!R12,'V2'!R12,'V3'!R12,'V4'!R12,'V5'!R12)</f>
        <v>85.591497227356797</v>
      </c>
      <c r="S27">
        <f>MEDIAN('V1'!S12,'V2'!S12,'V3'!S12,'V4'!S12,'V5'!S12)</f>
        <v>80.150853495208196</v>
      </c>
      <c r="T27">
        <f>MEDIAN('V1'!T12,'V2'!T12,'V3'!T12,'V4'!T12,'V5'!T12)</f>
        <v>14.3530644316396</v>
      </c>
      <c r="U27">
        <f>MEDIAN('V1'!U12,'V2'!U12,'V3'!U12,'V4'!U12,'V5'!U12)</f>
        <v>81.749809036958695</v>
      </c>
      <c r="V27">
        <f>MEDIAN('V1'!V12,'V2'!V12,'V3'!V12,'V4'!V12,'V5'!V12)</f>
        <v>85.646935568360405</v>
      </c>
      <c r="W27">
        <f>MEDIAN('V1'!W12,'V2'!W12,'V3'!W12,'V4'!W12,'V5'!W12)</f>
        <v>83.429574625658205</v>
      </c>
      <c r="X27">
        <f>MEDIAN('V1'!X12,'V2'!X12,'V3'!X12,'V4'!X12,'V5'!X12)</f>
        <v>52.499135770460597</v>
      </c>
      <c r="Y27">
        <f>MEDIAN('V1'!Y12,'V2'!Y12,'V3'!Y12,'V4'!Y12,'V5'!Y12)</f>
        <v>85.646935568360405</v>
      </c>
      <c r="Z27">
        <f>MEDIAN('V1'!Z12,'V2'!Z12,'V3'!Z12,'V4'!Z12,'V5'!Z12)</f>
        <v>85.646935568360405</v>
      </c>
      <c r="AA27">
        <f>MEDIAN('V1'!AA12,'V2'!AA12,'V3'!AA12,'V4'!AA12,'V5'!AA12)</f>
        <v>51.1669357655841</v>
      </c>
      <c r="AB27">
        <f>MEDIAN('V1'!AB12,'V2'!AB12,'V3'!AB12,'V4'!AB12,'V5'!AB12)</f>
        <v>85.646935568360405</v>
      </c>
      <c r="AC27">
        <f>MEDIAN('V1'!AC12,'V2'!AC12,'V3'!AC12,'V4'!AC12,'V5'!AC12)</f>
        <v>79.868818476317998</v>
      </c>
      <c r="AD27">
        <f>MEDIAN('V1'!AD12,'V2'!AD12,'V3'!AD12,'V4'!AD12,'V5'!AD12)</f>
        <v>306064.72052500601</v>
      </c>
      <c r="AE27">
        <f>MEDIAN('V1'!AE12,'V2'!AE12,'V3'!AE12,'V4'!AE12,'V5'!AE12)</f>
        <v>548.01214900000002</v>
      </c>
      <c r="AF27">
        <f>MEDIAN('V1'!AF12,'V2'!AF12,'V3'!AF12,'V4'!AF12,'V5'!AF12)</f>
        <v>432843</v>
      </c>
      <c r="AG27">
        <f>MEDIAN('V1'!AG12,'V2'!AG12,'V3'!AG12,'V4'!AG12,'V5'!AG12)</f>
        <v>430850</v>
      </c>
      <c r="AH27">
        <f>MEDIAN('V1'!AH12,'V2'!AH12,'V3'!AH12,'V4'!AH12,'V5'!AH12)</f>
        <v>46305</v>
      </c>
      <c r="AI27">
        <f>MEDIAN('V1'!AI12,'V2'!AI12,'V3'!AI12,'V4'!AI12,'V5'!AI12)</f>
        <v>46305</v>
      </c>
      <c r="AJ27" t="e">
        <f>MEDIAN('V1'!AJ12,'V2'!AJ12,'V3'!AJ12,'V4'!AJ12,'V5'!AJ12)</f>
        <v>#NUM!</v>
      </c>
      <c r="AK27" t="e">
        <f>MEDIAN('V1'!AK12,'V2'!AK12,'V3'!AK12,'V4'!AK12,'V5'!AK12)</f>
        <v>#NUM!</v>
      </c>
      <c r="AL27" t="e">
        <f>MEDIAN('V1'!AL12,'V2'!AL12,'V3'!AL12,'V4'!AL12,'V5'!AL12)</f>
        <v>#NUM!</v>
      </c>
      <c r="AM27" t="e">
        <f>MEDIAN('V1'!AM12,'V2'!AM12,'V3'!AM12,'V4'!AM12,'V5'!AM12)</f>
        <v>#NUM!</v>
      </c>
    </row>
    <row r="28" spans="1:39" x14ac:dyDescent="0.2">
      <c r="A28" s="1">
        <v>0</v>
      </c>
      <c r="B28" s="51">
        <v>2.4</v>
      </c>
      <c r="C28" s="51" t="s">
        <v>73</v>
      </c>
      <c r="D28" s="2" t="s">
        <v>44</v>
      </c>
      <c r="E28">
        <f>MEDIAN('V1'!E13,'V2'!F13,'V3'!F13,'V4'!F13,'V5'!F13)</f>
        <v>1612</v>
      </c>
      <c r="F28">
        <f>MEDIAN('V1'!F13,'V2'!F13,'V3'!F13,'V4'!F13,'V5'!F13)</f>
        <v>1612</v>
      </c>
      <c r="G28">
        <f>MEDIAN('V1'!G13,'V2'!G13,'V3'!G13,'V4'!G13,'V5'!G13)</f>
        <v>85.123101100052395</v>
      </c>
      <c r="H28">
        <f>MEDIAN('V1'!H13,'V2'!H13,'V3'!H13,'V4'!H13,'V5'!H13)</f>
        <v>284</v>
      </c>
      <c r="I28">
        <f>MEDIAN('V1'!I13,'V2'!I13,'V3'!I13,'V4'!I13,'V5'!I13)</f>
        <v>85.101663585951897</v>
      </c>
      <c r="J28">
        <f>MEDIAN('V1'!J13,'V2'!J13,'V3'!J13,'V4'!J13,'V5'!J13)</f>
        <v>14.898336414048099</v>
      </c>
      <c r="K28">
        <f>MEDIAN('V1'!K13,'V2'!K13,'V3'!K13,'V4'!K13,'V5'!K13)</f>
        <v>50</v>
      </c>
      <c r="L28">
        <f>MEDIAN('V1'!L13,'V2'!L13,'V3'!L13,'V4'!L13,'V5'!L13)</f>
        <v>85.101663585951897</v>
      </c>
      <c r="M28">
        <f>MEDIAN('V1'!M13,'V2'!M13,'V3'!M13,'V4'!M13,'V5'!M13)</f>
        <v>85.101663585951897</v>
      </c>
      <c r="N28">
        <f>MEDIAN('V1'!N13,'V2'!N13,'V3'!N13,'V4'!N13,'V5'!N13)</f>
        <v>50</v>
      </c>
      <c r="O28">
        <f>MEDIAN('V1'!O13,'V2'!O13,'V3'!O13,'V4'!O13,'V5'!O13)</f>
        <v>85.101663585951897</v>
      </c>
      <c r="P28">
        <f>MEDIAN('V1'!P13,'V2'!P13,'V3'!P13,'V4'!P13,'V5'!P13)</f>
        <v>85.101663585951897</v>
      </c>
      <c r="Q28">
        <f>MEDIAN('V1'!Q13,'V2'!Q13,'V3'!Q13,'V4'!Q13,'V5'!Q13)</f>
        <v>45.975634112242901</v>
      </c>
      <c r="R28">
        <f>MEDIAN('V1'!R13,'V2'!R13,'V3'!R13,'V4'!R13,'V5'!R13)</f>
        <v>85.101663585951897</v>
      </c>
      <c r="S28">
        <f>MEDIAN('V1'!S13,'V2'!S13,'V3'!S13,'V4'!S13,'V5'!S13)</f>
        <v>78.252058947418206</v>
      </c>
      <c r="T28">
        <f>MEDIAN('V1'!T13,'V2'!T13,'V3'!T13,'V4'!T13,'V5'!T13)</f>
        <v>14.8768988999476</v>
      </c>
      <c r="U28">
        <f>MEDIAN('V1'!U13,'V2'!U13,'V3'!U13,'V4'!U13,'V5'!U13)</f>
        <v>85.123101100052395</v>
      </c>
      <c r="V28">
        <f>MEDIAN('V1'!V13,'V2'!V13,'V3'!V13,'V4'!V13,'V5'!V13)</f>
        <v>85.123101100052395</v>
      </c>
      <c r="W28">
        <f>MEDIAN('V1'!W13,'V2'!W13,'V3'!W13,'V4'!W13,'V5'!W13)</f>
        <v>50</v>
      </c>
      <c r="X28">
        <f>MEDIAN('V1'!X13,'V2'!X13,'V3'!X13,'V4'!X13,'V5'!X13)</f>
        <v>50</v>
      </c>
      <c r="Y28">
        <f>MEDIAN('V1'!Y13,'V2'!Y13,'V3'!Y13,'V4'!Y13,'V5'!Y13)</f>
        <v>85.123101100052395</v>
      </c>
      <c r="Z28">
        <f>MEDIAN('V1'!Z13,'V2'!Z13,'V3'!Z13,'V4'!Z13,'V5'!Z13)</f>
        <v>85.123101100052395</v>
      </c>
      <c r="AA28">
        <f>MEDIAN('V1'!AA13,'V2'!AA13,'V3'!AA13,'V4'!AA13,'V5'!AA13)</f>
        <v>45.9818902093945</v>
      </c>
      <c r="AB28">
        <f>MEDIAN('V1'!AB13,'V2'!AB13,'V3'!AB13,'V4'!AB13,'V5'!AB13)</f>
        <v>85.123101100052395</v>
      </c>
      <c r="AC28">
        <f>MEDIAN('V1'!AC13,'V2'!AC13,'V3'!AC13,'V4'!AC13,'V5'!AC13)</f>
        <v>78.282421781315904</v>
      </c>
      <c r="AD28">
        <f>MEDIAN('V1'!AD13,'V2'!AD13,'V3'!AD13,'V4'!AD13,'V5'!AD13)</f>
        <v>5081.7256074822499</v>
      </c>
      <c r="AE28">
        <f>MEDIAN('V1'!AE13,'V2'!AE13,'V3'!AE13,'V4'!AE13,'V5'!AE13)</f>
        <v>42.573500000000003</v>
      </c>
      <c r="AF28">
        <f>MEDIAN('V1'!AF13,'V2'!AF13,'V3'!AF13,'V4'!AF13,'V5'!AF13)</f>
        <v>1298759</v>
      </c>
      <c r="AG28">
        <f>MEDIAN('V1'!AG13,'V2'!AG13,'V3'!AG13,'V4'!AG13,'V5'!AG13)</f>
        <v>1296950</v>
      </c>
      <c r="AH28">
        <f>MEDIAN('V1'!AH13,'V2'!AH13,'V3'!AH13,'V4'!AH13,'V5'!AH13)</f>
        <v>46305</v>
      </c>
      <c r="AI28">
        <f>MEDIAN('V1'!AI13,'V2'!AI13,'V3'!AI13,'V4'!AI13,'V5'!AI13)</f>
        <v>46305</v>
      </c>
      <c r="AJ28" t="e">
        <f>MEDIAN('V1'!AJ13,'V2'!AJ13,'V3'!AJ13,'V4'!AJ13,'V5'!AJ13)</f>
        <v>#NUM!</v>
      </c>
      <c r="AK28" t="e">
        <f>MEDIAN('V1'!AK13,'V2'!AK13,'V3'!AK13,'V4'!AK13,'V5'!AK13)</f>
        <v>#NUM!</v>
      </c>
      <c r="AL28" t="e">
        <f>MEDIAN('V1'!AL13,'V2'!AL13,'V3'!AL13,'V4'!AL13,'V5'!AL13)</f>
        <v>#NUM!</v>
      </c>
      <c r="AM28" t="e">
        <f>MEDIAN('V1'!AM13,'V2'!AM13,'V3'!AM13,'V4'!AM13,'V5'!AM13)</f>
        <v>#NUM!</v>
      </c>
    </row>
    <row r="29" spans="1:39" x14ac:dyDescent="0.2">
      <c r="A29" s="1">
        <v>0</v>
      </c>
      <c r="B29" s="51">
        <v>2.5</v>
      </c>
      <c r="C29" s="51" t="s">
        <v>74</v>
      </c>
      <c r="D29" s="2" t="s">
        <v>44</v>
      </c>
      <c r="E29">
        <f>MEDIAN('V1'!E14,'V2'!F14,'V3'!F14,'V4'!F14,'V5'!F14)</f>
        <v>1577</v>
      </c>
      <c r="F29">
        <f>MEDIAN('V1'!F14,'V2'!F14,'V3'!F14,'V4'!F14,'V5'!F14)</f>
        <v>1581</v>
      </c>
      <c r="G29">
        <f>MEDIAN('V1'!G14,'V2'!G14,'V3'!G14,'V4'!G14,'V5'!G14)</f>
        <v>85.437401781037195</v>
      </c>
      <c r="H29">
        <f>MEDIAN('V1'!H14,'V2'!H14,'V3'!H14,'V4'!H14,'V5'!H14)</f>
        <v>278</v>
      </c>
      <c r="I29">
        <f>MEDIAN('V1'!I14,'V2'!I14,'V3'!I14,'V4'!I14,'V5'!I14)</f>
        <v>85.388170055452903</v>
      </c>
      <c r="J29">
        <f>MEDIAN('V1'!J14,'V2'!J14,'V3'!J14,'V4'!J14,'V5'!J14)</f>
        <v>14.7227356746765</v>
      </c>
      <c r="K29">
        <f>MEDIAN('V1'!K14,'V2'!K14,'V3'!K14,'V4'!K14,'V5'!K14)</f>
        <v>73.453635721988306</v>
      </c>
      <c r="L29">
        <f>MEDIAN('V1'!L14,'V2'!L14,'V3'!L14,'V4'!L14,'V5'!L14)</f>
        <v>85.388170055452903</v>
      </c>
      <c r="M29">
        <f>MEDIAN('V1'!M14,'V2'!M14,'V3'!M14,'V4'!M14,'V5'!M14)</f>
        <v>82.796862318014206</v>
      </c>
      <c r="N29">
        <f>MEDIAN('V1'!N14,'V2'!N14,'V3'!N14,'V4'!N14,'V5'!N14)</f>
        <v>51.408123909945601</v>
      </c>
      <c r="O29">
        <f>MEDIAN('V1'!O14,'V2'!O14,'V3'!O14,'V4'!O14,'V5'!O14)</f>
        <v>85.388170055452903</v>
      </c>
      <c r="P29">
        <f>MEDIAN('V1'!P14,'V2'!P14,'V3'!P14,'V4'!P14,'V5'!P14)</f>
        <v>85.2772643253235</v>
      </c>
      <c r="Q29">
        <f>MEDIAN('V1'!Q14,'V2'!Q14,'V3'!Q14,'V4'!Q14,'V5'!Q14)</f>
        <v>49.636182476976899</v>
      </c>
      <c r="R29">
        <f>MEDIAN('V1'!R14,'V2'!R14,'V3'!R14,'V4'!R14,'V5'!R14)</f>
        <v>85.4251386321627</v>
      </c>
      <c r="S29">
        <f>MEDIAN('V1'!S14,'V2'!S14,'V3'!S14,'V4'!S14,'V5'!S14)</f>
        <v>79.201161281627506</v>
      </c>
      <c r="T29">
        <f>MEDIAN('V1'!T14,'V2'!T14,'V3'!T14,'V4'!T14,'V5'!T14)</f>
        <v>14.562598218962799</v>
      </c>
      <c r="U29">
        <f>MEDIAN('V1'!U14,'V2'!U14,'V3'!U14,'V4'!U14,'V5'!U14)</f>
        <v>82.733017377567094</v>
      </c>
      <c r="V29">
        <f>MEDIAN('V1'!V14,'V2'!V14,'V3'!V14,'V4'!V14,'V5'!V14)</f>
        <v>85.437401781037195</v>
      </c>
      <c r="W29">
        <f>MEDIAN('V1'!W14,'V2'!W14,'V3'!W14,'V4'!W14,'V5'!W14)</f>
        <v>82.410442589778896</v>
      </c>
      <c r="X29">
        <f>MEDIAN('V1'!X14,'V2'!X14,'V3'!X14,'V4'!X14,'V5'!X14)</f>
        <v>51.346912242686898</v>
      </c>
      <c r="Y29">
        <f>MEDIAN('V1'!Y14,'V2'!Y14,'V3'!Y14,'V4'!Y14,'V5'!Y14)</f>
        <v>85.437401781037195</v>
      </c>
      <c r="Z29">
        <f>MEDIAN('V1'!Z14,'V2'!Z14,'V3'!Z14,'V4'!Z14,'V5'!Z14)</f>
        <v>85.437401781037195</v>
      </c>
      <c r="AA29">
        <f>MEDIAN('V1'!AA14,'V2'!AA14,'V3'!AA14,'V4'!AA14,'V5'!AA14)</f>
        <v>48.776707050584101</v>
      </c>
      <c r="AB29">
        <f>MEDIAN('V1'!AB14,'V2'!AB14,'V3'!AB14,'V4'!AB14,'V5'!AB14)</f>
        <v>85.437401781037195</v>
      </c>
      <c r="AC29">
        <f>MEDIAN('V1'!AC14,'V2'!AC14,'V3'!AC14,'V4'!AC14,'V5'!AC14)</f>
        <v>79.217568743176997</v>
      </c>
      <c r="AD29">
        <f>MEDIAN('V1'!AD14,'V2'!AD14,'V3'!AD14,'V4'!AD14,'V5'!AD14)</f>
        <v>7255.28824683537</v>
      </c>
      <c r="AE29">
        <f>MEDIAN('V1'!AE14,'V2'!AE14,'V3'!AE14,'V4'!AE14,'V5'!AE14)</f>
        <v>33.770479999999999</v>
      </c>
      <c r="AF29">
        <f>MEDIAN('V1'!AF14,'V2'!AF14,'V3'!AF14,'V4'!AF14,'V5'!AF14)</f>
        <v>492839</v>
      </c>
      <c r="AG29">
        <f>MEDIAN('V1'!AG14,'V2'!AG14,'V3'!AG14,'V4'!AG14,'V5'!AG14)</f>
        <v>490850</v>
      </c>
      <c r="AH29">
        <f>MEDIAN('V1'!AH14,'V2'!AH14,'V3'!AH14,'V4'!AH14,'V5'!AH14)</f>
        <v>46305</v>
      </c>
      <c r="AI29">
        <f>MEDIAN('V1'!AI14,'V2'!AI14,'V3'!AI14,'V4'!AI14,'V5'!AI14)</f>
        <v>46305</v>
      </c>
      <c r="AJ29" t="e">
        <f>MEDIAN('V1'!AJ14,'V2'!AJ14,'V3'!AJ14,'V4'!AJ14,'V5'!AJ14)</f>
        <v>#NUM!</v>
      </c>
      <c r="AK29" t="e">
        <f>MEDIAN('V1'!AK14,'V2'!AK14,'V3'!AK14,'V4'!AK14,'V5'!AK14)</f>
        <v>#NUM!</v>
      </c>
      <c r="AL29" t="e">
        <f>MEDIAN('V1'!AL14,'V2'!AL14,'V3'!AL14,'V4'!AL14,'V5'!AL14)</f>
        <v>#NUM!</v>
      </c>
      <c r="AM29" t="e">
        <f>MEDIAN('V1'!AM14,'V2'!AM14,'V3'!AM14,'V4'!AM14,'V5'!AM14)</f>
        <v>#NUM!</v>
      </c>
    </row>
    <row r="30" spans="1:39" x14ac:dyDescent="0.2">
      <c r="A30" s="1">
        <v>0</v>
      </c>
      <c r="B30" s="51">
        <v>2.6</v>
      </c>
      <c r="C30" s="51" t="s">
        <v>76</v>
      </c>
      <c r="D30" s="2" t="s">
        <v>44</v>
      </c>
      <c r="E30">
        <f>MEDIAN('V1'!E15,'V2'!F15,'V3'!F15,'V4'!F15,'V5'!F15)</f>
        <v>1612</v>
      </c>
      <c r="F30">
        <f>MEDIAN('V1'!F15,'V2'!F15,'V3'!F15,'V4'!F15,'V5'!F15)</f>
        <v>1612</v>
      </c>
      <c r="G30">
        <f>MEDIAN('V1'!G15,'V2'!G15,'V3'!G15,'V4'!G15,'V5'!G15)</f>
        <v>85.123101100052395</v>
      </c>
      <c r="H30">
        <f>MEDIAN('V1'!H15,'V2'!H15,'V3'!H15,'V4'!H15,'V5'!H15)</f>
        <v>284</v>
      </c>
      <c r="I30">
        <f>MEDIAN('V1'!I15,'V2'!I15,'V3'!I15,'V4'!I15,'V5'!I15)</f>
        <v>85.101663585951897</v>
      </c>
      <c r="J30">
        <f>MEDIAN('V1'!J15,'V2'!J15,'V3'!J15,'V4'!J15,'V5'!J15)</f>
        <v>14.898336414048099</v>
      </c>
      <c r="K30">
        <f>MEDIAN('V1'!K15,'V2'!K15,'V3'!K15,'V4'!K15,'V5'!K15)</f>
        <v>50</v>
      </c>
      <c r="L30">
        <f>MEDIAN('V1'!L15,'V2'!L15,'V3'!L15,'V4'!L15,'V5'!L15)</f>
        <v>85.101663585951897</v>
      </c>
      <c r="M30">
        <f>MEDIAN('V1'!M15,'V2'!M15,'V3'!M15,'V4'!M15,'V5'!M15)</f>
        <v>85.101663585951897</v>
      </c>
      <c r="N30">
        <f>MEDIAN('V1'!N15,'V2'!N15,'V3'!N15,'V4'!N15,'V5'!N15)</f>
        <v>50</v>
      </c>
      <c r="O30">
        <f>MEDIAN('V1'!O15,'V2'!O15,'V3'!O15,'V4'!O15,'V5'!O15)</f>
        <v>85.101663585951897</v>
      </c>
      <c r="P30">
        <f>MEDIAN('V1'!P15,'V2'!P15,'V3'!P15,'V4'!P15,'V5'!P15)</f>
        <v>85.101663585951897</v>
      </c>
      <c r="Q30">
        <f>MEDIAN('V1'!Q15,'V2'!Q15,'V3'!Q15,'V4'!Q15,'V5'!Q15)</f>
        <v>45.975634112242901</v>
      </c>
      <c r="R30">
        <f>MEDIAN('V1'!R15,'V2'!R15,'V3'!R15,'V4'!R15,'V5'!R15)</f>
        <v>85.101663585951897</v>
      </c>
      <c r="S30">
        <f>MEDIAN('V1'!S15,'V2'!S15,'V3'!S15,'V4'!S15,'V5'!S15)</f>
        <v>78.252058947418206</v>
      </c>
      <c r="T30">
        <f>MEDIAN('V1'!T15,'V2'!T15,'V3'!T15,'V4'!T15,'V5'!T15)</f>
        <v>14.8768988999476</v>
      </c>
      <c r="U30">
        <f>MEDIAN('V1'!U15,'V2'!U15,'V3'!U15,'V4'!U15,'V5'!U15)</f>
        <v>85.123101100052395</v>
      </c>
      <c r="V30">
        <f>MEDIAN('V1'!V15,'V2'!V15,'V3'!V15,'V4'!V15,'V5'!V15)</f>
        <v>85.123101100052395</v>
      </c>
      <c r="W30">
        <f>MEDIAN('V1'!W15,'V2'!W15,'V3'!W15,'V4'!W15,'V5'!W15)</f>
        <v>50</v>
      </c>
      <c r="X30">
        <f>MEDIAN('V1'!X15,'V2'!X15,'V3'!X15,'V4'!X15,'V5'!X15)</f>
        <v>50</v>
      </c>
      <c r="Y30">
        <f>MEDIAN('V1'!Y15,'V2'!Y15,'V3'!Y15,'V4'!Y15,'V5'!Y15)</f>
        <v>85.123101100052395</v>
      </c>
      <c r="Z30">
        <f>MEDIAN('V1'!Z15,'V2'!Z15,'V3'!Z15,'V4'!Z15,'V5'!Z15)</f>
        <v>85.123101100052395</v>
      </c>
      <c r="AA30">
        <f>MEDIAN('V1'!AA15,'V2'!AA15,'V3'!AA15,'V4'!AA15,'V5'!AA15)</f>
        <v>45.9818902093945</v>
      </c>
      <c r="AB30">
        <f>MEDIAN('V1'!AB15,'V2'!AB15,'V3'!AB15,'V4'!AB15,'V5'!AB15)</f>
        <v>85.123101100052395</v>
      </c>
      <c r="AC30">
        <f>MEDIAN('V1'!AC15,'V2'!AC15,'V3'!AC15,'V4'!AC15,'V5'!AC15)</f>
        <v>78.282421781315904</v>
      </c>
      <c r="AD30">
        <f>MEDIAN('V1'!AD15,'V2'!AD15,'V3'!AD15,'V4'!AD15,'V5'!AD15)</f>
        <v>9107.3991305043201</v>
      </c>
      <c r="AE30">
        <f>MEDIAN('V1'!AE15,'V2'!AE15,'V3'!AE15,'V4'!AE15,'V5'!AE15)</f>
        <v>36.533296</v>
      </c>
      <c r="AF30">
        <f>MEDIAN('V1'!AF15,'V2'!AF15,'V3'!AF15,'V4'!AF15,'V5'!AF15)</f>
        <v>451799</v>
      </c>
      <c r="AG30">
        <f>MEDIAN('V1'!AG15,'V2'!AG15,'V3'!AG15,'V4'!AG15,'V5'!AG15)</f>
        <v>449810</v>
      </c>
      <c r="AH30">
        <f>MEDIAN('V1'!AH15,'V2'!AH15,'V3'!AH15,'V4'!AH15,'V5'!AH15)</f>
        <v>46305</v>
      </c>
      <c r="AI30">
        <f>MEDIAN('V1'!AI15,'V2'!AI15,'V3'!AI15,'V4'!AI15,'V5'!AI15)</f>
        <v>46305</v>
      </c>
      <c r="AJ30" t="e">
        <f>MEDIAN('V1'!AJ15,'V2'!AJ15,'V3'!AJ15,'V4'!AJ15,'V5'!AJ15)</f>
        <v>#NUM!</v>
      </c>
      <c r="AK30" t="e">
        <f>MEDIAN('V1'!AK15,'V2'!AK15,'V3'!AK15,'V4'!AK15,'V5'!AK15)</f>
        <v>#NUM!</v>
      </c>
      <c r="AL30" t="e">
        <f>MEDIAN('V1'!AL15,'V2'!AL15,'V3'!AL15,'V4'!AL15,'V5'!AL15)</f>
        <v>#NUM!</v>
      </c>
      <c r="AM30" t="e">
        <f>MEDIAN('V1'!AM15,'V2'!AM15,'V3'!AM15,'V4'!AM15,'V5'!AM15)</f>
        <v>#NUM!</v>
      </c>
    </row>
    <row r="31" spans="1:39" x14ac:dyDescent="0.2">
      <c r="A31" s="1">
        <v>0</v>
      </c>
      <c r="B31" s="51">
        <v>2.7</v>
      </c>
      <c r="C31" s="51" t="s">
        <v>78</v>
      </c>
      <c r="D31" s="2" t="s">
        <v>44</v>
      </c>
      <c r="E31">
        <f>MEDIAN('V1'!E16,'V2'!F16,'V3'!F16,'V4'!F16,'V5'!F16)</f>
        <v>1501</v>
      </c>
      <c r="F31">
        <f>MEDIAN('V1'!F16,'V2'!F16,'V3'!F16,'V4'!F16,'V5'!F16)</f>
        <v>1505</v>
      </c>
      <c r="G31">
        <f>MEDIAN('V1'!G16,'V2'!G16,'V3'!G16,'V4'!G16,'V5'!G16)</f>
        <v>86.851754845468804</v>
      </c>
      <c r="H31">
        <f>MEDIAN('V1'!H16,'V2'!H16,'V3'!H16,'V4'!H16,'V5'!H16)</f>
        <v>251</v>
      </c>
      <c r="I31">
        <f>MEDIAN('V1'!I16,'V2'!I16,'V3'!I16,'V4'!I16,'V5'!I16)</f>
        <v>86.090573012939004</v>
      </c>
      <c r="J31">
        <f>MEDIAN('V1'!J16,'V2'!J16,'V3'!J16,'V4'!J16,'V5'!J16)</f>
        <v>14.0295748613678</v>
      </c>
      <c r="K31">
        <f>MEDIAN('V1'!K16,'V2'!K16,'V3'!K16,'V4'!K16,'V5'!K16)</f>
        <v>74.940273338253107</v>
      </c>
      <c r="L31">
        <f>MEDIAN('V1'!L16,'V2'!L16,'V3'!L16,'V4'!L16,'V5'!L16)</f>
        <v>86.090573012939004</v>
      </c>
      <c r="M31">
        <f>MEDIAN('V1'!M16,'V2'!M16,'V3'!M16,'V4'!M16,'V5'!M16)</f>
        <v>83.487339852952701</v>
      </c>
      <c r="N31">
        <f>MEDIAN('V1'!N16,'V2'!N16,'V3'!N16,'V4'!N16,'V5'!N16)</f>
        <v>57.078931703858402</v>
      </c>
      <c r="O31">
        <f>MEDIAN('V1'!O16,'V2'!O16,'V3'!O16,'V4'!O16,'V5'!O16)</f>
        <v>86.090573012939004</v>
      </c>
      <c r="P31">
        <f>MEDIAN('V1'!P16,'V2'!P16,'V3'!P16,'V4'!P16,'V5'!P16)</f>
        <v>85.970425138632194</v>
      </c>
      <c r="Q31">
        <f>MEDIAN('V1'!Q16,'V2'!Q16,'V3'!Q16,'V4'!Q16,'V5'!Q16)</f>
        <v>58.799606838930899</v>
      </c>
      <c r="R31">
        <f>MEDIAN('V1'!R16,'V2'!R16,'V3'!R16,'V4'!R16,'V5'!R16)</f>
        <v>86.1275415896488</v>
      </c>
      <c r="S31">
        <f>MEDIAN('V1'!S16,'V2'!S16,'V3'!S16,'V4'!S16,'V5'!S16)</f>
        <v>81.952380734544107</v>
      </c>
      <c r="T31">
        <f>MEDIAN('V1'!T16,'V2'!T16,'V3'!T16,'V4'!T16,'V5'!T16)</f>
        <v>13.1482451545312</v>
      </c>
      <c r="U31">
        <f>MEDIAN('V1'!U16,'V2'!U16,'V3'!U16,'V4'!U16,'V5'!U16)</f>
        <v>79.213529777962194</v>
      </c>
      <c r="V31">
        <f>MEDIAN('V1'!V16,'V2'!V16,'V3'!V16,'V4'!V16,'V5'!V16)</f>
        <v>86.851754845468804</v>
      </c>
      <c r="W31">
        <f>MEDIAN('V1'!W16,'V2'!W16,'V3'!W16,'V4'!W16,'V5'!W16)</f>
        <v>85.063249832517499</v>
      </c>
      <c r="X31">
        <f>MEDIAN('V1'!X16,'V2'!X16,'V3'!X16,'V4'!X16,'V5'!X16)</f>
        <v>59.151462621885202</v>
      </c>
      <c r="Y31">
        <f>MEDIAN('V1'!Y16,'V2'!Y16,'V3'!Y16,'V4'!Y16,'V5'!Y16)</f>
        <v>86.851754845468804</v>
      </c>
      <c r="Z31">
        <f>MEDIAN('V1'!Z16,'V2'!Z16,'V3'!Z16,'V4'!Z16,'V5'!Z16)</f>
        <v>86.851754845468804</v>
      </c>
      <c r="AA31">
        <f>MEDIAN('V1'!AA16,'V2'!AA16,'V3'!AA16,'V4'!AA16,'V5'!AA16)</f>
        <v>61.794580457914201</v>
      </c>
      <c r="AB31">
        <f>MEDIAN('V1'!AB16,'V2'!AB16,'V3'!AB16,'V4'!AB16,'V5'!AB16)</f>
        <v>86.851754845468804</v>
      </c>
      <c r="AC31">
        <f>MEDIAN('V1'!AC16,'V2'!AC16,'V3'!AC16,'V4'!AC16,'V5'!AC16)</f>
        <v>83.529167038580894</v>
      </c>
      <c r="AD31">
        <f>MEDIAN('V1'!AD16,'V2'!AD16,'V3'!AD16,'V4'!AD16,'V5'!AD16)</f>
        <v>30268.2742607771</v>
      </c>
      <c r="AE31">
        <f>MEDIAN('V1'!AE16,'V2'!AE16,'V3'!AE16,'V4'!AE16,'V5'!AE16)</f>
        <v>13.149196</v>
      </c>
      <c r="AF31">
        <f>MEDIAN('V1'!AF16,'V2'!AF16,'V3'!AF16,'V4'!AF16,'V5'!AF16)</f>
        <v>309556</v>
      </c>
      <c r="AG31">
        <f>MEDIAN('V1'!AG16,'V2'!AG16,'V3'!AG16,'V4'!AG16,'V5'!AG16)</f>
        <v>132501</v>
      </c>
      <c r="AH31">
        <f>MEDIAN('V1'!AH16,'V2'!AH16,'V3'!AH16,'V4'!AH16,'V5'!AH16)</f>
        <v>46305</v>
      </c>
      <c r="AI31">
        <f>MEDIAN('V1'!AI16,'V2'!AI16,'V3'!AI16,'V4'!AI16,'V5'!AI16)</f>
        <v>46305</v>
      </c>
      <c r="AJ31" t="e">
        <f>MEDIAN('V1'!AJ16,'V2'!AJ16,'V3'!AJ16,'V4'!AJ16,'V5'!AJ16)</f>
        <v>#NUM!</v>
      </c>
      <c r="AK31" t="e">
        <f>MEDIAN('V1'!AK16,'V2'!AK16,'V3'!AK16,'V4'!AK16,'V5'!AK16)</f>
        <v>#NUM!</v>
      </c>
      <c r="AL31" t="e">
        <f>MEDIAN('V1'!AL16,'V2'!AL16,'V3'!AL16,'V4'!AL16,'V5'!AL16)</f>
        <v>#NUM!</v>
      </c>
      <c r="AM31" t="e">
        <f>MEDIAN('V1'!AM16,'V2'!AM16,'V3'!AM16,'V4'!AM16,'V5'!AM16)</f>
        <v>#NUM!</v>
      </c>
    </row>
    <row r="32" spans="1:39" x14ac:dyDescent="0.2">
      <c r="A32" s="1">
        <v>0</v>
      </c>
      <c r="B32" s="51">
        <v>2.8</v>
      </c>
      <c r="C32" s="51" t="s">
        <v>78</v>
      </c>
      <c r="D32" s="2" t="s">
        <v>44</v>
      </c>
      <c r="E32">
        <f>MEDIAN('V1'!E17,'V2'!F17,'V3'!F17,'V4'!F17,'V5'!F17)</f>
        <v>1559</v>
      </c>
      <c r="F32">
        <f>MEDIAN('V1'!F17,'V2'!F17,'V3'!F17,'V4'!F17,'V5'!F17)</f>
        <v>1559</v>
      </c>
      <c r="G32">
        <f>MEDIAN('V1'!G17,'V2'!G17,'V3'!G17,'V4'!G17,'V5'!G17)</f>
        <v>86.066003143006796</v>
      </c>
      <c r="H32">
        <f>MEDIAN('V1'!H17,'V2'!H17,'V3'!H17,'V4'!H17,'V5'!H17)</f>
        <v>265</v>
      </c>
      <c r="I32">
        <f>MEDIAN('V1'!I17,'V2'!I17,'V3'!I17,'V4'!I17,'V5'!I17)</f>
        <v>85.720887245840999</v>
      </c>
      <c r="J32">
        <f>MEDIAN('V1'!J17,'V2'!J17,'V3'!J17,'V4'!J17,'V5'!J17)</f>
        <v>14.4085027726432</v>
      </c>
      <c r="K32">
        <f>MEDIAN('V1'!K17,'V2'!K17,'V3'!K17,'V4'!K17,'V5'!K17)</f>
        <v>70.956691022597795</v>
      </c>
      <c r="L32">
        <f>MEDIAN('V1'!L17,'V2'!L17,'V3'!L17,'V4'!L17,'V5'!L17)</f>
        <v>85.591497227356797</v>
      </c>
      <c r="M32">
        <f>MEDIAN('V1'!M17,'V2'!M17,'V3'!M17,'V4'!M17,'V5'!M17)</f>
        <v>82.466940342472398</v>
      </c>
      <c r="N32">
        <f>MEDIAN('V1'!N17,'V2'!N17,'V3'!N17,'V4'!N17,'V5'!N17)</f>
        <v>58.398970147870102</v>
      </c>
      <c r="O32">
        <f>MEDIAN('V1'!O17,'V2'!O17,'V3'!O17,'V4'!O17,'V5'!O17)</f>
        <v>85.591497227356797</v>
      </c>
      <c r="P32">
        <f>MEDIAN('V1'!P17,'V2'!P17,'V3'!P17,'V4'!P17,'V5'!P17)</f>
        <v>85.591497227356697</v>
      </c>
      <c r="Q32">
        <f>MEDIAN('V1'!Q17,'V2'!Q17,'V3'!Q17,'V4'!Q17,'V5'!Q17)</f>
        <v>60.446754025597599</v>
      </c>
      <c r="R32">
        <f>MEDIAN('V1'!R17,'V2'!R17,'V3'!R17,'V4'!R17,'V5'!R17)</f>
        <v>85.591497227356797</v>
      </c>
      <c r="S32">
        <f>MEDIAN('V1'!S17,'V2'!S17,'V3'!S17,'V4'!S17,'V5'!S17)</f>
        <v>82.546789593572001</v>
      </c>
      <c r="T32">
        <f>MEDIAN('V1'!T17,'V2'!T17,'V3'!T17,'V4'!T17,'V5'!T17)</f>
        <v>13.9339968569932</v>
      </c>
      <c r="U32">
        <f>MEDIAN('V1'!U17,'V2'!U17,'V3'!U17,'V4'!U17,'V5'!U17)</f>
        <v>73.370816175694202</v>
      </c>
      <c r="V32">
        <f>MEDIAN('V1'!V17,'V2'!V17,'V3'!V17,'V4'!V17,'V5'!V17)</f>
        <v>86.066003143006796</v>
      </c>
      <c r="W32">
        <f>MEDIAN('V1'!W17,'V2'!W17,'V3'!W17,'V4'!W17,'V5'!W17)</f>
        <v>83.413666136780904</v>
      </c>
      <c r="X32">
        <f>MEDIAN('V1'!X17,'V2'!X17,'V3'!X17,'V4'!X17,'V5'!X17)</f>
        <v>59.592416034669597</v>
      </c>
      <c r="Y32">
        <f>MEDIAN('V1'!Y17,'V2'!Y17,'V3'!Y17,'V4'!Y17,'V5'!Y17)</f>
        <v>86.066003143006796</v>
      </c>
      <c r="Z32">
        <f>MEDIAN('V1'!Z17,'V2'!Z17,'V3'!Z17,'V4'!Z17,'V5'!Z17)</f>
        <v>86.066003143006796</v>
      </c>
      <c r="AA32">
        <f>MEDIAN('V1'!AA17,'V2'!AA17,'V3'!AA17,'V4'!AA17,'V5'!AA17)</f>
        <v>62.074203021109099</v>
      </c>
      <c r="AB32">
        <f>MEDIAN('V1'!AB17,'V2'!AB17,'V3'!AB17,'V4'!AB17,'V5'!AB17)</f>
        <v>86.066003143006796</v>
      </c>
      <c r="AC32">
        <f>MEDIAN('V1'!AC17,'V2'!AC17,'V3'!AC17,'V4'!AC17,'V5'!AC17)</f>
        <v>83.286867603783406</v>
      </c>
      <c r="AD32">
        <f>MEDIAN('V1'!AD17,'V2'!AD17,'V3'!AD17,'V4'!AD17,'V5'!AD17)</f>
        <v>21777.766148656399</v>
      </c>
      <c r="AE32">
        <f>MEDIAN('V1'!AE17,'V2'!AE17,'V3'!AE17,'V4'!AE17,'V5'!AE17)</f>
        <v>29.570913999999998</v>
      </c>
      <c r="AF32">
        <f>MEDIAN('V1'!AF17,'V2'!AF17,'V3'!AF17,'V4'!AF17,'V5'!AF17)</f>
        <v>6773880</v>
      </c>
      <c r="AG32">
        <f>MEDIAN('V1'!AG17,'V2'!AG17,'V3'!AG17,'V4'!AG17,'V5'!AG17)</f>
        <v>4895789</v>
      </c>
      <c r="AH32">
        <f>MEDIAN('V1'!AH17,'V2'!AH17,'V3'!AH17,'V4'!AH17,'V5'!AH17)</f>
        <v>46305</v>
      </c>
      <c r="AI32">
        <f>MEDIAN('V1'!AI17,'V2'!AI17,'V3'!AI17,'V4'!AI17,'V5'!AI17)</f>
        <v>46305</v>
      </c>
      <c r="AJ32" t="e">
        <f>MEDIAN('V1'!AJ17,'V2'!AJ17,'V3'!AJ17,'V4'!AJ17,'V5'!AJ17)</f>
        <v>#NUM!</v>
      </c>
      <c r="AK32" t="e">
        <f>MEDIAN('V1'!AK17,'V2'!AK17,'V3'!AK17,'V4'!AK17,'V5'!AK17)</f>
        <v>#NUM!</v>
      </c>
      <c r="AL32" t="e">
        <f>MEDIAN('V1'!AL17,'V2'!AL17,'V3'!AL17,'V4'!AL17,'V5'!AL17)</f>
        <v>#NUM!</v>
      </c>
      <c r="AM32" t="e">
        <f>MEDIAN('V1'!AM17,'V2'!AM17,'V3'!AM17,'V4'!AM17,'V5'!AM17)</f>
        <v>#NUM!</v>
      </c>
    </row>
    <row r="33" spans="1:39" x14ac:dyDescent="0.2">
      <c r="A33" s="1">
        <v>0</v>
      </c>
      <c r="B33" s="51">
        <v>2.9</v>
      </c>
      <c r="C33" s="51" t="s">
        <v>51</v>
      </c>
      <c r="D33" s="2" t="s">
        <v>44</v>
      </c>
      <c r="E33">
        <f>MEDIAN('V1'!E18,'V2'!F18,'V3'!F18,'V4'!F18,'V5'!F18)</f>
        <v>3114</v>
      </c>
      <c r="F33">
        <f>MEDIAN('V1'!F18,'V2'!F18,'V3'!F18,'V4'!F18,'V5'!F18)</f>
        <v>3114</v>
      </c>
      <c r="G33">
        <f>MEDIAN('V1'!G18,'V2'!G18,'V3'!G18,'V4'!G18,'V5'!G18)</f>
        <v>69.931901519120004</v>
      </c>
      <c r="H33">
        <f>MEDIAN('V1'!H18,'V2'!H18,'V3'!H18,'V4'!H18,'V5'!H18)</f>
        <v>547</v>
      </c>
      <c r="I33">
        <f>MEDIAN('V1'!I18,'V2'!I18,'V3'!I18,'V4'!I18,'V5'!I18)</f>
        <v>71.367837338262504</v>
      </c>
      <c r="J33">
        <f>MEDIAN('V1'!J18,'V2'!J18,'V3'!J18,'V4'!J18,'V5'!J18)</f>
        <v>28.780036968576699</v>
      </c>
      <c r="K33">
        <f>MEDIAN('V1'!K18,'V2'!K18,'V3'!K18,'V4'!K18,'V5'!K18)</f>
        <v>62.759918307657699</v>
      </c>
      <c r="L33">
        <f>MEDIAN('V1'!L18,'V2'!L18,'V3'!L18,'V4'!L18,'V5'!L18)</f>
        <v>71.219963031423305</v>
      </c>
      <c r="M33">
        <f>MEDIAN('V1'!M18,'V2'!M18,'V3'!M18,'V4'!M18,'V5'!M18)</f>
        <v>84.754579879119106</v>
      </c>
      <c r="N33">
        <f>MEDIAN('V1'!N18,'V2'!N18,'V3'!N18,'V4'!N18,'V5'!N18)</f>
        <v>72.7898844030329</v>
      </c>
      <c r="O33">
        <f>MEDIAN('V1'!O18,'V2'!O18,'V3'!O18,'V4'!O18,'V5'!O18)</f>
        <v>71.219963031423305</v>
      </c>
      <c r="P33">
        <f>MEDIAN('V1'!P18,'V2'!P18,'V3'!P18,'V4'!P18,'V5'!P18)</f>
        <v>71.219963031423305</v>
      </c>
      <c r="Q33">
        <f>MEDIAN('V1'!Q18,'V2'!Q18,'V3'!Q18,'V4'!Q18,'V5'!Q18)</f>
        <v>62.393082488398001</v>
      </c>
      <c r="R33">
        <f>MEDIAN('V1'!R18,'V2'!R18,'V3'!R18,'V4'!R18,'V5'!R18)</f>
        <v>71.219963031423305</v>
      </c>
      <c r="S33">
        <f>MEDIAN('V1'!S18,'V2'!S18,'V3'!S18,'V4'!S18,'V5'!S18)</f>
        <v>75.143851973638903</v>
      </c>
      <c r="T33">
        <f>MEDIAN('V1'!T18,'V2'!T18,'V3'!T18,'V4'!T18,'V5'!T18)</f>
        <v>30.06809848088</v>
      </c>
      <c r="U33">
        <f>MEDIAN('V1'!U18,'V2'!U18,'V3'!U18,'V4'!U18,'V5'!U18)</f>
        <v>62.355408319977798</v>
      </c>
      <c r="V33">
        <f>MEDIAN('V1'!V18,'V2'!V18,'V3'!V18,'V4'!V18,'V5'!V18)</f>
        <v>71.346254583551598</v>
      </c>
      <c r="W33">
        <f>MEDIAN('V1'!W18,'V2'!W18,'V3'!W18,'V4'!W18,'V5'!W18)</f>
        <v>83.847751033460995</v>
      </c>
      <c r="X33">
        <f>MEDIAN('V1'!X18,'V2'!X18,'V3'!X18,'V4'!X18,'V5'!X18)</f>
        <v>70.715492957746505</v>
      </c>
      <c r="Y33">
        <f>MEDIAN('V1'!Y18,'V2'!Y18,'V3'!Y18,'V4'!Y18,'V5'!Y18)</f>
        <v>69.931901519120004</v>
      </c>
      <c r="Z33">
        <f>MEDIAN('V1'!Z18,'V2'!Z18,'V3'!Z18,'V4'!Z18,'V5'!Z18)</f>
        <v>69.931901519120004</v>
      </c>
      <c r="AA33">
        <f>MEDIAN('V1'!AA18,'V2'!AA18,'V3'!AA18,'V4'!AA18,'V5'!AA18)</f>
        <v>62.123524212009301</v>
      </c>
      <c r="AB33">
        <f>MEDIAN('V1'!AB18,'V2'!AB18,'V3'!AB18,'V4'!AB18,'V5'!AB18)</f>
        <v>71.346254583551598</v>
      </c>
      <c r="AC33">
        <f>MEDIAN('V1'!AC18,'V2'!AC18,'V3'!AC18,'V4'!AC18,'V5'!AC18)</f>
        <v>75.252697702708005</v>
      </c>
      <c r="AD33">
        <f>MEDIAN('V1'!AD18,'V2'!AD18,'V3'!AD18,'V4'!AD18,'V5'!AD18)</f>
        <v>47310.8876257105</v>
      </c>
      <c r="AE33">
        <f>MEDIAN('V1'!AE18,'V2'!AE18,'V3'!AE18,'V4'!AE18,'V5'!AE18)</f>
        <v>9.5760799999999993</v>
      </c>
      <c r="AF33">
        <f>MEDIAN('V1'!AF18,'V2'!AF18,'V3'!AF18,'V4'!AF18,'V5'!AF18)</f>
        <v>294568</v>
      </c>
      <c r="AG33">
        <f>MEDIAN('V1'!AG18,'V2'!AG18,'V3'!AG18,'V4'!AG18,'V5'!AG18)</f>
        <v>113549</v>
      </c>
      <c r="AH33">
        <f>MEDIAN('V1'!AH18,'V2'!AH18,'V3'!AH18,'V4'!AH18,'V5'!AH18)</f>
        <v>46305</v>
      </c>
      <c r="AI33">
        <f>MEDIAN('V1'!AI18,'V2'!AI18,'V3'!AI18,'V4'!AI18,'V5'!AI18)</f>
        <v>46305</v>
      </c>
      <c r="AJ33" t="e">
        <f>MEDIAN('V1'!AJ18,'V2'!AJ18,'V3'!AJ18,'V4'!AJ18,'V5'!AJ18)</f>
        <v>#NUM!</v>
      </c>
      <c r="AK33" t="e">
        <f>MEDIAN('V1'!AK18,'V2'!AK18,'V3'!AK18,'V4'!AK18,'V5'!AK18)</f>
        <v>#NUM!</v>
      </c>
      <c r="AL33" t="e">
        <f>MEDIAN('V1'!AL18,'V2'!AL18,'V3'!AL18,'V4'!AL18,'V5'!AL18)</f>
        <v>#NUM!</v>
      </c>
      <c r="AM33" t="e">
        <f>MEDIAN('V1'!AM18,'V2'!AM18,'V3'!AM18,'V4'!AM18,'V5'!AM18)</f>
        <v>#NUM!</v>
      </c>
    </row>
    <row r="40" spans="1:39" x14ac:dyDescent="0.2">
      <c r="C40" t="s">
        <v>104</v>
      </c>
    </row>
  </sheetData>
  <sortState xmlns:xlrd2="http://schemas.microsoft.com/office/spreadsheetml/2017/richdata2" ref="A10:AM33">
    <sortCondition ref="B10:B33"/>
  </sortState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26AD-2E59-3A48-877D-8CB203329D44}">
  <dimension ref="A1:AL33"/>
  <sheetViews>
    <sheetView workbookViewId="0">
      <selection activeCell="C37" sqref="C37"/>
    </sheetView>
  </sheetViews>
  <sheetFormatPr baseColWidth="10" defaultColWidth="11" defaultRowHeight="16" x14ac:dyDescent="0.2"/>
  <sheetData>
    <row r="1" spans="1:38" x14ac:dyDescent="0.2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x14ac:dyDescent="0.2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x14ac:dyDescent="0.2">
      <c r="A3" s="1" t="s">
        <v>105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2">
      <c r="A4" s="1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x14ac:dyDescent="0.2">
      <c r="A5" s="1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x14ac:dyDescent="0.2">
      <c r="A6" s="1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x14ac:dyDescent="0.2">
      <c r="A9" s="1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  <c r="K9" s="2" t="s">
        <v>16</v>
      </c>
      <c r="L9" s="2" t="s">
        <v>17</v>
      </c>
      <c r="M9" s="2" t="s">
        <v>18</v>
      </c>
      <c r="N9" s="2" t="s">
        <v>19</v>
      </c>
      <c r="O9" s="2" t="s">
        <v>20</v>
      </c>
      <c r="P9" s="2" t="s">
        <v>21</v>
      </c>
      <c r="Q9" s="2" t="s">
        <v>22</v>
      </c>
      <c r="R9" s="2" t="s">
        <v>23</v>
      </c>
      <c r="S9" s="2" t="s">
        <v>24</v>
      </c>
      <c r="T9" s="2" t="s">
        <v>25</v>
      </c>
      <c r="U9" s="2" t="s">
        <v>26</v>
      </c>
      <c r="V9" s="2" t="s">
        <v>27</v>
      </c>
      <c r="W9" s="2" t="s">
        <v>28</v>
      </c>
      <c r="X9" s="2" t="s">
        <v>29</v>
      </c>
      <c r="Y9" s="2" t="s">
        <v>30</v>
      </c>
      <c r="Z9" s="2" t="s">
        <v>31</v>
      </c>
      <c r="AA9" s="2" t="s">
        <v>32</v>
      </c>
      <c r="AB9" s="2" t="s">
        <v>33</v>
      </c>
      <c r="AC9" s="2" t="s">
        <v>34</v>
      </c>
      <c r="AD9" s="2" t="s">
        <v>35</v>
      </c>
      <c r="AE9" s="2" t="s">
        <v>36</v>
      </c>
      <c r="AF9" s="2" t="s">
        <v>37</v>
      </c>
      <c r="AG9" s="2" t="s">
        <v>38</v>
      </c>
      <c r="AH9" s="2" t="s">
        <v>39</v>
      </c>
      <c r="AI9" s="2" t="s">
        <v>40</v>
      </c>
      <c r="AJ9" s="2" t="s">
        <v>41</v>
      </c>
      <c r="AK9" s="2" t="s">
        <v>42</v>
      </c>
      <c r="AL9" s="2" t="s">
        <v>43</v>
      </c>
    </row>
    <row r="10" spans="1:38" x14ac:dyDescent="0.2">
      <c r="A10" s="1">
        <v>0</v>
      </c>
      <c r="B10" s="2">
        <v>2.1</v>
      </c>
      <c r="C10" s="2" t="s">
        <v>44</v>
      </c>
      <c r="D10" s="2" t="s">
        <v>45</v>
      </c>
      <c r="E10" s="2">
        <f>MEDIAN('P1'!E1,)</f>
        <v>0</v>
      </c>
      <c r="F10" s="2">
        <v>1630</v>
      </c>
      <c r="G10" s="2">
        <v>15.064695009242101</v>
      </c>
      <c r="H10" s="2">
        <v>68.323920295898802</v>
      </c>
      <c r="I10" s="2">
        <v>84.935304990757899</v>
      </c>
      <c r="J10" s="2">
        <v>81.985687093446401</v>
      </c>
      <c r="K10" s="2">
        <v>59.804547453611399</v>
      </c>
      <c r="L10" s="2">
        <v>84.935304990757899</v>
      </c>
      <c r="M10" s="2">
        <v>84.935304990757899</v>
      </c>
      <c r="N10" s="2">
        <v>61.861322139679203</v>
      </c>
      <c r="O10" s="2">
        <v>84.935304990757899</v>
      </c>
      <c r="P10" s="2">
        <v>82.687127003841894</v>
      </c>
      <c r="Q10" s="2">
        <v>85.594552121529603</v>
      </c>
      <c r="R10" s="2">
        <v>275</v>
      </c>
      <c r="S10" s="2">
        <v>14.405447878470399</v>
      </c>
      <c r="T10" s="2">
        <v>70.711047482701005</v>
      </c>
      <c r="U10" s="2">
        <v>85.594552121529603</v>
      </c>
      <c r="V10" s="2">
        <v>82.770733114525299</v>
      </c>
      <c r="W10" s="2">
        <v>60.156446370530901</v>
      </c>
      <c r="X10" s="2">
        <v>85.594552121529603</v>
      </c>
      <c r="Y10" s="2">
        <v>85.594552121529603</v>
      </c>
      <c r="Z10" s="2">
        <v>62.5092035361575</v>
      </c>
      <c r="AA10" s="2">
        <v>85.594552121529603</v>
      </c>
      <c r="AB10" s="2">
        <v>83.175059646293704</v>
      </c>
      <c r="AC10" s="2">
        <v>543390.92004821205</v>
      </c>
      <c r="AD10" s="2">
        <v>3.4451499999999999</v>
      </c>
      <c r="AE10" s="2">
        <v>30933</v>
      </c>
      <c r="AF10" s="2">
        <v>22748</v>
      </c>
      <c r="AG10" s="2" t="s">
        <v>46</v>
      </c>
      <c r="AH10" s="2" t="s">
        <v>106</v>
      </c>
      <c r="AI10" s="2" t="s">
        <v>47</v>
      </c>
      <c r="AJ10" s="2" t="s">
        <v>48</v>
      </c>
      <c r="AK10" s="2" t="s">
        <v>49</v>
      </c>
      <c r="AL10" s="2" t="s">
        <v>50</v>
      </c>
    </row>
    <row r="11" spans="1:38" x14ac:dyDescent="0.2">
      <c r="A11" s="1">
        <v>0</v>
      </c>
      <c r="B11" s="2">
        <v>2.1</v>
      </c>
      <c r="C11" s="2" t="s">
        <v>44</v>
      </c>
      <c r="D11" s="2" t="s">
        <v>51</v>
      </c>
      <c r="E11" s="2">
        <v>85.415896487985194</v>
      </c>
      <c r="F11" s="2">
        <v>1578</v>
      </c>
      <c r="G11" s="2">
        <v>14.584103512014799</v>
      </c>
      <c r="H11" s="2">
        <v>79.553043460281998</v>
      </c>
      <c r="I11" s="2">
        <v>85.415896487985194</v>
      </c>
      <c r="J11" s="2">
        <v>83.724477667703695</v>
      </c>
      <c r="K11" s="2">
        <v>51.540749440016597</v>
      </c>
      <c r="L11" s="2">
        <v>85.415896487985194</v>
      </c>
      <c r="M11" s="2">
        <v>85.415896487985194</v>
      </c>
      <c r="N11" s="2">
        <v>49.193570272652103</v>
      </c>
      <c r="O11" s="2">
        <v>85.415896487985194</v>
      </c>
      <c r="P11" s="2">
        <v>79.310119083036298</v>
      </c>
      <c r="Q11" s="2" t="s">
        <v>52</v>
      </c>
      <c r="R11" s="2" t="s">
        <v>52</v>
      </c>
      <c r="S11" s="2" t="s">
        <v>52</v>
      </c>
      <c r="T11" s="2" t="s">
        <v>52</v>
      </c>
      <c r="U11" s="2" t="s">
        <v>52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>
        <v>15317.621210233599</v>
      </c>
      <c r="AD11" s="2">
        <v>106.409465</v>
      </c>
      <c r="AE11" s="2">
        <v>649033</v>
      </c>
      <c r="AF11" s="2">
        <v>647888</v>
      </c>
      <c r="AG11" s="2" t="s">
        <v>53</v>
      </c>
      <c r="AH11" s="2" t="s">
        <v>106</v>
      </c>
      <c r="AI11" s="2" t="s">
        <v>47</v>
      </c>
      <c r="AJ11" s="2" t="s">
        <v>48</v>
      </c>
      <c r="AK11" s="2" t="s">
        <v>49</v>
      </c>
      <c r="AL11" s="2" t="s">
        <v>50</v>
      </c>
    </row>
    <row r="12" spans="1:38" x14ac:dyDescent="0.2">
      <c r="A12" s="1">
        <v>0</v>
      </c>
      <c r="B12" s="2">
        <v>2.11</v>
      </c>
      <c r="C12" s="2" t="s">
        <v>44</v>
      </c>
      <c r="D12" s="2" t="s">
        <v>51</v>
      </c>
      <c r="E12" s="2">
        <v>84.057301293900196</v>
      </c>
      <c r="F12" s="2">
        <v>1725</v>
      </c>
      <c r="G12" s="2">
        <v>15.942698706099801</v>
      </c>
      <c r="H12" s="2">
        <v>65.582388852977104</v>
      </c>
      <c r="I12" s="2">
        <v>84.057301293900196</v>
      </c>
      <c r="J12" s="2">
        <v>81.054873406588101</v>
      </c>
      <c r="K12" s="2">
        <v>59.135167822564497</v>
      </c>
      <c r="L12" s="2">
        <v>84.057301293900196</v>
      </c>
      <c r="M12" s="2">
        <v>84.057301293900196</v>
      </c>
      <c r="N12" s="2">
        <v>60.816451258442797</v>
      </c>
      <c r="O12" s="2">
        <v>84.057301293900196</v>
      </c>
      <c r="P12" s="2">
        <v>82.001798296644395</v>
      </c>
      <c r="Q12" s="2" t="s">
        <v>52</v>
      </c>
      <c r="R12" s="2" t="s">
        <v>52</v>
      </c>
      <c r="S12" s="2" t="s">
        <v>52</v>
      </c>
      <c r="T12" s="2" t="s">
        <v>52</v>
      </c>
      <c r="U12" s="2" t="s">
        <v>52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>
        <v>22969.0830198613</v>
      </c>
      <c r="AD12" s="2">
        <v>133.97675699999999</v>
      </c>
      <c r="AE12" s="2">
        <v>683017</v>
      </c>
      <c r="AF12" s="2">
        <v>681872</v>
      </c>
      <c r="AG12" s="2" t="s">
        <v>54</v>
      </c>
      <c r="AH12" s="2" t="s">
        <v>106</v>
      </c>
      <c r="AI12" s="2" t="s">
        <v>47</v>
      </c>
      <c r="AJ12" s="2" t="s">
        <v>48</v>
      </c>
      <c r="AK12" s="2" t="s">
        <v>49</v>
      </c>
      <c r="AL12" s="2" t="s">
        <v>50</v>
      </c>
    </row>
    <row r="13" spans="1:38" x14ac:dyDescent="0.2">
      <c r="A13" s="1">
        <v>0</v>
      </c>
      <c r="B13" s="2">
        <v>2.12</v>
      </c>
      <c r="C13" s="2" t="s">
        <v>44</v>
      </c>
      <c r="D13" s="2" t="s">
        <v>51</v>
      </c>
      <c r="E13" s="2">
        <v>85.101663585951897</v>
      </c>
      <c r="F13" s="2">
        <v>1612</v>
      </c>
      <c r="G13" s="2">
        <v>14.898336414048099</v>
      </c>
      <c r="H13" s="2" t="s">
        <v>52</v>
      </c>
      <c r="I13" s="2">
        <v>85.101663585951897</v>
      </c>
      <c r="J13" s="2" t="s">
        <v>52</v>
      </c>
      <c r="K13" s="2">
        <v>50</v>
      </c>
      <c r="L13" s="2">
        <v>85.101663585951897</v>
      </c>
      <c r="M13" s="2">
        <v>85.101663585951897</v>
      </c>
      <c r="N13" s="2">
        <v>45.975634112242901</v>
      </c>
      <c r="O13" s="2">
        <v>85.101663585951897</v>
      </c>
      <c r="P13" s="2">
        <v>78.252058947418206</v>
      </c>
      <c r="Q13" s="2">
        <v>85.123101100052395</v>
      </c>
      <c r="R13" s="2">
        <v>284</v>
      </c>
      <c r="S13" s="2">
        <v>14.8768988999476</v>
      </c>
      <c r="T13" s="2" t="s">
        <v>52</v>
      </c>
      <c r="U13" s="2">
        <v>85.123101100052395</v>
      </c>
      <c r="V13" s="2" t="s">
        <v>52</v>
      </c>
      <c r="W13" s="2">
        <v>50</v>
      </c>
      <c r="X13" s="2">
        <v>85.123101100052395</v>
      </c>
      <c r="Y13" s="2">
        <v>85.123101100052395</v>
      </c>
      <c r="Z13" s="2">
        <v>45.9818902093945</v>
      </c>
      <c r="AA13" s="2">
        <v>85.123101100052395</v>
      </c>
      <c r="AB13" s="2">
        <v>78.282421781315904</v>
      </c>
      <c r="AC13" s="2">
        <v>5153.9492255024297</v>
      </c>
      <c r="AD13" s="2">
        <v>52.189258000000002</v>
      </c>
      <c r="AE13" s="2">
        <v>2084805</v>
      </c>
      <c r="AF13" s="2">
        <v>2083664</v>
      </c>
      <c r="AG13" s="2" t="s">
        <v>107</v>
      </c>
      <c r="AH13" s="2" t="s">
        <v>106</v>
      </c>
      <c r="AI13" s="2" t="s">
        <v>47</v>
      </c>
      <c r="AJ13" s="2" t="s">
        <v>48</v>
      </c>
      <c r="AK13" s="2" t="s">
        <v>49</v>
      </c>
      <c r="AL13" s="2" t="s">
        <v>50</v>
      </c>
    </row>
    <row r="14" spans="1:38" x14ac:dyDescent="0.2">
      <c r="A14" s="1">
        <v>0</v>
      </c>
      <c r="B14" s="2">
        <v>2.13</v>
      </c>
      <c r="C14" s="2" t="s">
        <v>44</v>
      </c>
      <c r="D14" s="2" t="s">
        <v>51</v>
      </c>
      <c r="E14" s="2">
        <v>85.508317929759698</v>
      </c>
      <c r="F14" s="2">
        <v>1568</v>
      </c>
      <c r="G14" s="2">
        <v>14.4916820702403</v>
      </c>
      <c r="H14" s="2">
        <v>77.017133956386303</v>
      </c>
      <c r="I14" s="2">
        <v>85.508317929759698</v>
      </c>
      <c r="J14" s="2">
        <v>83.113450918743993</v>
      </c>
      <c r="K14" s="2">
        <v>52.337082006583998</v>
      </c>
      <c r="L14" s="2">
        <v>85.508317929759698</v>
      </c>
      <c r="M14" s="2">
        <v>85.508317929759698</v>
      </c>
      <c r="N14" s="2">
        <v>50.79629575493</v>
      </c>
      <c r="O14" s="2">
        <v>85.508317929759698</v>
      </c>
      <c r="P14" s="2">
        <v>79.8095572470082</v>
      </c>
      <c r="Q14" s="2">
        <v>85.5421686746988</v>
      </c>
      <c r="R14" s="2">
        <v>276</v>
      </c>
      <c r="S14" s="2">
        <v>14.4578313253012</v>
      </c>
      <c r="T14" s="2">
        <v>76.224580017683493</v>
      </c>
      <c r="U14" s="2">
        <v>85.5421686746988</v>
      </c>
      <c r="V14" s="2">
        <v>82.938651156349493</v>
      </c>
      <c r="W14" s="2">
        <v>52.570747562296901</v>
      </c>
      <c r="X14" s="2">
        <v>85.5421686746988</v>
      </c>
      <c r="Y14" s="2">
        <v>85.5421686746988</v>
      </c>
      <c r="Z14" s="2">
        <v>51.263181263181302</v>
      </c>
      <c r="AA14" s="2">
        <v>85.5421686746988</v>
      </c>
      <c r="AB14" s="2">
        <v>79.975312505432996</v>
      </c>
      <c r="AC14" s="2">
        <v>7242.5497791423904</v>
      </c>
      <c r="AD14" s="2">
        <v>31.924454000000001</v>
      </c>
      <c r="AE14" s="2">
        <v>830085</v>
      </c>
      <c r="AF14" s="2">
        <v>828944</v>
      </c>
      <c r="AG14" s="2" t="s">
        <v>108</v>
      </c>
      <c r="AH14" s="2" t="s">
        <v>106</v>
      </c>
      <c r="AI14" s="2" t="s">
        <v>47</v>
      </c>
      <c r="AJ14" s="2" t="s">
        <v>48</v>
      </c>
      <c r="AK14" s="2" t="s">
        <v>49</v>
      </c>
      <c r="AL14" s="2" t="s">
        <v>50</v>
      </c>
    </row>
    <row r="15" spans="1:38" x14ac:dyDescent="0.2">
      <c r="A15" s="1">
        <v>0</v>
      </c>
      <c r="B15" s="2">
        <v>2.14</v>
      </c>
      <c r="C15" s="2" t="s">
        <v>44</v>
      </c>
      <c r="D15" s="2" t="s">
        <v>51</v>
      </c>
      <c r="E15" s="2">
        <v>85.101663585951897</v>
      </c>
      <c r="F15" s="2">
        <v>1612</v>
      </c>
      <c r="G15" s="2">
        <v>14.898336414048099</v>
      </c>
      <c r="H15" s="2" t="s">
        <v>52</v>
      </c>
      <c r="I15" s="2">
        <v>85.101663585951897</v>
      </c>
      <c r="J15" s="2" t="s">
        <v>52</v>
      </c>
      <c r="K15" s="2">
        <v>50</v>
      </c>
      <c r="L15" s="2">
        <v>85.101663585951897</v>
      </c>
      <c r="M15" s="2">
        <v>85.101663585951897</v>
      </c>
      <c r="N15" s="2">
        <v>45.975634112242901</v>
      </c>
      <c r="O15" s="2">
        <v>85.101663585951897</v>
      </c>
      <c r="P15" s="2">
        <v>78.252058947418206</v>
      </c>
      <c r="Q15" s="2">
        <v>85.123101100052395</v>
      </c>
      <c r="R15" s="2">
        <v>284</v>
      </c>
      <c r="S15" s="2">
        <v>14.8768988999476</v>
      </c>
      <c r="T15" s="2" t="s">
        <v>52</v>
      </c>
      <c r="U15" s="2">
        <v>85.123101100052395</v>
      </c>
      <c r="V15" s="2" t="s">
        <v>52</v>
      </c>
      <c r="W15" s="2">
        <v>50</v>
      </c>
      <c r="X15" s="2">
        <v>85.123101100052395</v>
      </c>
      <c r="Y15" s="2">
        <v>85.123101100052395</v>
      </c>
      <c r="Z15" s="2">
        <v>45.9818902093945</v>
      </c>
      <c r="AA15" s="2">
        <v>85.123101100052395</v>
      </c>
      <c r="AB15" s="2">
        <v>78.282421781315904</v>
      </c>
      <c r="AC15" s="2">
        <v>7871.6098242346598</v>
      </c>
      <c r="AD15" s="2">
        <v>34.127937000000003</v>
      </c>
      <c r="AE15" s="2">
        <v>689349</v>
      </c>
      <c r="AF15" s="2">
        <v>688208</v>
      </c>
      <c r="AG15" s="2" t="s">
        <v>109</v>
      </c>
      <c r="AH15" s="2" t="s">
        <v>106</v>
      </c>
      <c r="AI15" s="2" t="s">
        <v>47</v>
      </c>
      <c r="AJ15" s="2" t="s">
        <v>48</v>
      </c>
      <c r="AK15" s="2" t="s">
        <v>49</v>
      </c>
      <c r="AL15" s="2" t="s">
        <v>50</v>
      </c>
    </row>
    <row r="16" spans="1:38" x14ac:dyDescent="0.2">
      <c r="A16" s="1">
        <v>0</v>
      </c>
      <c r="B16" s="2">
        <v>2.15</v>
      </c>
      <c r="C16" s="2" t="s">
        <v>44</v>
      </c>
      <c r="D16" s="2" t="s">
        <v>58</v>
      </c>
      <c r="E16" s="2">
        <v>86.312384473197795</v>
      </c>
      <c r="F16" s="2">
        <v>1481</v>
      </c>
      <c r="G16" s="2">
        <v>13.687615526802199</v>
      </c>
      <c r="H16" s="2">
        <v>75.593552767590396</v>
      </c>
      <c r="I16" s="2">
        <v>86.312384473197795</v>
      </c>
      <c r="J16" s="2">
        <v>83.839475963437394</v>
      </c>
      <c r="K16" s="2">
        <v>58.4387052579158</v>
      </c>
      <c r="L16" s="2">
        <v>86.312384473197795</v>
      </c>
      <c r="M16" s="2">
        <v>86.312384473197795</v>
      </c>
      <c r="N16" s="2">
        <v>60.697657164475501</v>
      </c>
      <c r="O16" s="2">
        <v>86.312384473197795</v>
      </c>
      <c r="P16" s="2">
        <v>82.972353058814903</v>
      </c>
      <c r="Q16" s="2">
        <v>86.694604504976397</v>
      </c>
      <c r="R16" s="2">
        <v>254</v>
      </c>
      <c r="S16" s="2">
        <v>13.3053954950236</v>
      </c>
      <c r="T16" s="2">
        <v>76.717629619415305</v>
      </c>
      <c r="U16" s="2">
        <v>86.694604504976397</v>
      </c>
      <c r="V16" s="2">
        <v>84.509780651178502</v>
      </c>
      <c r="W16" s="2">
        <v>60.076164680390001</v>
      </c>
      <c r="X16" s="2">
        <v>86.694604504976397</v>
      </c>
      <c r="Y16" s="2">
        <v>86.694604504976397</v>
      </c>
      <c r="Z16" s="2">
        <v>62.884939224151097</v>
      </c>
      <c r="AA16" s="2">
        <v>86.694604504976397</v>
      </c>
      <c r="AB16" s="2">
        <v>83.767059002821298</v>
      </c>
      <c r="AC16" s="2">
        <v>21927.957943716901</v>
      </c>
      <c r="AD16" s="2">
        <v>21.029221</v>
      </c>
      <c r="AE16" s="2">
        <v>359622</v>
      </c>
      <c r="AF16" s="2">
        <v>174199</v>
      </c>
      <c r="AG16" s="2" t="s">
        <v>59</v>
      </c>
      <c r="AH16" s="2" t="s">
        <v>106</v>
      </c>
      <c r="AI16" s="2" t="s">
        <v>47</v>
      </c>
      <c r="AJ16" s="2" t="s">
        <v>48</v>
      </c>
      <c r="AK16" s="2" t="s">
        <v>49</v>
      </c>
      <c r="AL16" s="2" t="s">
        <v>50</v>
      </c>
    </row>
    <row r="17" spans="1:38" x14ac:dyDescent="0.2">
      <c r="A17" s="1">
        <v>0</v>
      </c>
      <c r="B17" s="2">
        <v>2.16</v>
      </c>
      <c r="C17" s="2" t="s">
        <v>44</v>
      </c>
      <c r="D17" s="2" t="s">
        <v>58</v>
      </c>
      <c r="E17" s="2">
        <v>85.905730129389994</v>
      </c>
      <c r="F17" s="2">
        <v>1525</v>
      </c>
      <c r="G17" s="2">
        <v>14.094269870610001</v>
      </c>
      <c r="H17" s="2">
        <v>72.448958391560495</v>
      </c>
      <c r="I17" s="2">
        <v>85.905730129389994</v>
      </c>
      <c r="J17" s="2">
        <v>83.059051615616198</v>
      </c>
      <c r="K17" s="2">
        <v>59.172100320575701</v>
      </c>
      <c r="L17" s="2">
        <v>85.905730129389994</v>
      </c>
      <c r="M17" s="2">
        <v>85.905730129389994</v>
      </c>
      <c r="N17" s="2">
        <v>61.496166942894099</v>
      </c>
      <c r="O17" s="2">
        <v>85.905730129389994</v>
      </c>
      <c r="P17" s="2">
        <v>83.018516561538704</v>
      </c>
      <c r="Q17" s="2">
        <v>86.170770036668401</v>
      </c>
      <c r="R17" s="2">
        <v>264</v>
      </c>
      <c r="S17" s="2">
        <v>13.829229963331599</v>
      </c>
      <c r="T17" s="2">
        <v>74.065705409999396</v>
      </c>
      <c r="U17" s="2">
        <v>86.170770036668401</v>
      </c>
      <c r="V17" s="2">
        <v>83.497949259135495</v>
      </c>
      <c r="W17" s="2">
        <v>58.896749729144098</v>
      </c>
      <c r="X17" s="2">
        <v>86.170770036668401</v>
      </c>
      <c r="Y17" s="2">
        <v>86.170770036668401</v>
      </c>
      <c r="Z17" s="2">
        <v>61.2421557770395</v>
      </c>
      <c r="AA17" s="2">
        <v>86.170770036668401</v>
      </c>
      <c r="AB17" s="2">
        <v>83.0770817875962</v>
      </c>
      <c r="AC17" s="2">
        <v>14408.377632658299</v>
      </c>
      <c r="AD17" s="2">
        <v>44.125030000000002</v>
      </c>
      <c r="AE17" s="2">
        <v>5979810</v>
      </c>
      <c r="AF17" s="2">
        <v>4368531</v>
      </c>
      <c r="AG17" s="2" t="s">
        <v>60</v>
      </c>
      <c r="AH17" s="2" t="s">
        <v>106</v>
      </c>
      <c r="AI17" s="2" t="s">
        <v>47</v>
      </c>
      <c r="AJ17" s="2" t="s">
        <v>48</v>
      </c>
      <c r="AK17" s="2" t="s">
        <v>49</v>
      </c>
      <c r="AL17" s="2" t="s">
        <v>50</v>
      </c>
    </row>
    <row r="18" spans="1:38" x14ac:dyDescent="0.2">
      <c r="A18" s="1">
        <v>0</v>
      </c>
      <c r="B18" s="2">
        <v>2.17</v>
      </c>
      <c r="C18" s="2" t="s">
        <v>44</v>
      </c>
      <c r="D18" s="2" t="s">
        <v>58</v>
      </c>
      <c r="E18" s="2">
        <v>71.377079482439896</v>
      </c>
      <c r="F18" s="2">
        <v>3097</v>
      </c>
      <c r="G18" s="2">
        <v>28.6229205175601</v>
      </c>
      <c r="H18" s="2">
        <v>63.371817970342903</v>
      </c>
      <c r="I18" s="2">
        <v>71.377079482439896</v>
      </c>
      <c r="J18" s="2">
        <v>85.645798353452506</v>
      </c>
      <c r="K18" s="2">
        <v>74.688115092497</v>
      </c>
      <c r="L18" s="2">
        <v>71.377079482439896</v>
      </c>
      <c r="M18" s="2">
        <v>71.377079482439896</v>
      </c>
      <c r="N18" s="2">
        <v>62.938415065830696</v>
      </c>
      <c r="O18" s="2">
        <v>71.377079482439896</v>
      </c>
      <c r="P18" s="2">
        <v>75.353695892591006</v>
      </c>
      <c r="Q18" s="2">
        <v>72.760607647983207</v>
      </c>
      <c r="R18" s="2">
        <v>520</v>
      </c>
      <c r="S18" s="2">
        <v>27.2393923520168</v>
      </c>
      <c r="T18" s="2">
        <v>64.359003783370696</v>
      </c>
      <c r="U18" s="2">
        <v>72.760607647983207</v>
      </c>
      <c r="V18" s="2">
        <v>86.321091078585994</v>
      </c>
      <c r="W18" s="2">
        <v>76.299783315276301</v>
      </c>
      <c r="X18" s="2">
        <v>72.760607647983207</v>
      </c>
      <c r="Y18" s="2">
        <v>72.760607647983207</v>
      </c>
      <c r="Z18" s="2">
        <v>64.355579557565093</v>
      </c>
      <c r="AA18" s="2">
        <v>72.760607647983207</v>
      </c>
      <c r="AB18" s="2">
        <v>76.514309513606904</v>
      </c>
      <c r="AC18" s="2">
        <v>17561.3144692571</v>
      </c>
      <c r="AD18" s="2">
        <v>18.297160999999999</v>
      </c>
      <c r="AE18" s="2">
        <v>335658</v>
      </c>
      <c r="AF18" s="2">
        <v>141739</v>
      </c>
      <c r="AG18" s="2" t="s">
        <v>61</v>
      </c>
      <c r="AH18" s="2" t="s">
        <v>106</v>
      </c>
      <c r="AI18" s="2" t="s">
        <v>47</v>
      </c>
      <c r="AJ18" s="2" t="s">
        <v>48</v>
      </c>
      <c r="AK18" s="2" t="s">
        <v>49</v>
      </c>
      <c r="AL18" s="2" t="s">
        <v>50</v>
      </c>
    </row>
    <row r="19" spans="1:38" x14ac:dyDescent="0.2">
      <c r="A19" s="1">
        <v>0</v>
      </c>
      <c r="B19" s="2">
        <v>2.1800000000000002</v>
      </c>
      <c r="C19" s="2" t="s">
        <v>44</v>
      </c>
      <c r="D19" s="2" t="s">
        <v>62</v>
      </c>
      <c r="E19" s="2">
        <v>85.203327171903894</v>
      </c>
      <c r="F19" s="2">
        <v>1601</v>
      </c>
      <c r="G19" s="2">
        <v>14.796672828096099</v>
      </c>
      <c r="H19" s="2">
        <v>69.131055724716006</v>
      </c>
      <c r="I19" s="2">
        <v>85.203327171903894</v>
      </c>
      <c r="J19" s="2">
        <v>81.973994280663703</v>
      </c>
      <c r="K19" s="2">
        <v>58.605891845045697</v>
      </c>
      <c r="L19" s="2">
        <v>85.203327171903894</v>
      </c>
      <c r="M19" s="2">
        <v>85.203327171903894</v>
      </c>
      <c r="N19" s="2">
        <v>60.587674973782697</v>
      </c>
      <c r="O19" s="2">
        <v>85.203327171903894</v>
      </c>
      <c r="P19" s="2">
        <v>82.454181124750804</v>
      </c>
      <c r="Q19" s="2">
        <v>85.227867993714</v>
      </c>
      <c r="R19" s="2">
        <v>282</v>
      </c>
      <c r="S19" s="2">
        <v>14.772132006286</v>
      </c>
      <c r="T19" s="2">
        <v>69.130346211940505</v>
      </c>
      <c r="U19" s="2">
        <v>85.227867993714</v>
      </c>
      <c r="V19" s="2">
        <v>81.941489659630903</v>
      </c>
      <c r="W19" s="2">
        <v>58.342903575297903</v>
      </c>
      <c r="X19" s="2">
        <v>85.227867993714</v>
      </c>
      <c r="Y19" s="2">
        <v>85.227867993714</v>
      </c>
      <c r="Z19" s="2">
        <v>60.273541965534903</v>
      </c>
      <c r="AA19" s="2">
        <v>85.227867993714</v>
      </c>
      <c r="AB19" s="2">
        <v>82.391024585355197</v>
      </c>
      <c r="AC19" s="2">
        <v>56043.8820488649</v>
      </c>
      <c r="AD19" s="2">
        <v>40.127955</v>
      </c>
      <c r="AE19" s="2">
        <v>10530</v>
      </c>
      <c r="AF19" s="2">
        <v>8924</v>
      </c>
      <c r="AG19" s="2" t="s">
        <v>63</v>
      </c>
      <c r="AH19" s="2" t="s">
        <v>106</v>
      </c>
      <c r="AI19" s="2" t="s">
        <v>47</v>
      </c>
      <c r="AJ19" s="2" t="s">
        <v>48</v>
      </c>
      <c r="AK19" s="2" t="s">
        <v>49</v>
      </c>
      <c r="AL19" s="2" t="s">
        <v>50</v>
      </c>
    </row>
    <row r="20" spans="1:38" x14ac:dyDescent="0.2">
      <c r="A20" s="1">
        <v>0</v>
      </c>
      <c r="B20" s="2">
        <v>2.19</v>
      </c>
      <c r="C20" s="2" t="s">
        <v>44</v>
      </c>
      <c r="D20" s="2" t="s">
        <v>62</v>
      </c>
      <c r="E20" s="2">
        <v>82.948243992606294</v>
      </c>
      <c r="F20" s="2">
        <v>1845</v>
      </c>
      <c r="G20" s="2">
        <v>17.051756007393699</v>
      </c>
      <c r="H20" s="2">
        <v>63.064858195259397</v>
      </c>
      <c r="I20" s="2">
        <v>82.948243992606294</v>
      </c>
      <c r="J20" s="2">
        <v>80.2630133440463</v>
      </c>
      <c r="K20" s="2">
        <v>58.790608231487099</v>
      </c>
      <c r="L20" s="2">
        <v>82.948243992606294</v>
      </c>
      <c r="M20" s="2">
        <v>82.948243992606294</v>
      </c>
      <c r="N20" s="2">
        <v>60.084321817673498</v>
      </c>
      <c r="O20" s="2">
        <v>82.948243992606294</v>
      </c>
      <c r="P20" s="2">
        <v>81.2925710350125</v>
      </c>
      <c r="Q20" s="2">
        <v>84.180199057097994</v>
      </c>
      <c r="R20" s="2">
        <v>302</v>
      </c>
      <c r="S20" s="2">
        <v>15.819800942902001</v>
      </c>
      <c r="T20" s="2">
        <v>66.041104902081301</v>
      </c>
      <c r="U20" s="2">
        <v>84.180199057097994</v>
      </c>
      <c r="V20" s="2">
        <v>81.310737834835393</v>
      </c>
      <c r="W20" s="2">
        <v>59.616251354279498</v>
      </c>
      <c r="X20" s="2">
        <v>84.180199057097994</v>
      </c>
      <c r="Y20" s="2">
        <v>84.180199057097994</v>
      </c>
      <c r="Z20" s="2">
        <v>61.364355257232297</v>
      </c>
      <c r="AA20" s="2">
        <v>84.180199057097994</v>
      </c>
      <c r="AB20" s="2">
        <v>82.220556031342596</v>
      </c>
      <c r="AC20" s="2">
        <v>251668.876328705</v>
      </c>
      <c r="AD20" s="2">
        <v>57.323014999999998</v>
      </c>
      <c r="AE20" s="2">
        <v>13530</v>
      </c>
      <c r="AF20" s="2">
        <v>11924</v>
      </c>
      <c r="AG20" s="2" t="s">
        <v>64</v>
      </c>
      <c r="AH20" s="2" t="s">
        <v>106</v>
      </c>
      <c r="AI20" s="2" t="s">
        <v>47</v>
      </c>
      <c r="AJ20" s="2" t="s">
        <v>48</v>
      </c>
      <c r="AK20" s="2" t="s">
        <v>49</v>
      </c>
      <c r="AL20" s="2" t="s">
        <v>50</v>
      </c>
    </row>
    <row r="21" spans="1:38" x14ac:dyDescent="0.2">
      <c r="A21" s="1">
        <v>0</v>
      </c>
      <c r="B21" s="2">
        <v>2.2000000000000002</v>
      </c>
      <c r="C21" s="2" t="s">
        <v>44</v>
      </c>
      <c r="D21" s="2" t="s">
        <v>45</v>
      </c>
      <c r="E21" s="2">
        <v>85.471349353049902</v>
      </c>
      <c r="F21" s="2">
        <v>1572</v>
      </c>
      <c r="G21" s="2">
        <v>14.5286506469501</v>
      </c>
      <c r="H21" s="2">
        <v>70.8575029551521</v>
      </c>
      <c r="I21" s="2">
        <v>85.471349353049902</v>
      </c>
      <c r="J21" s="2">
        <v>81.918361587917303</v>
      </c>
      <c r="K21" s="2">
        <v>55.744061157306298</v>
      </c>
      <c r="L21" s="2">
        <v>85.471349353049902</v>
      </c>
      <c r="M21" s="2">
        <v>85.471349353049902</v>
      </c>
      <c r="N21" s="2">
        <v>56.775591209107603</v>
      </c>
      <c r="O21" s="2">
        <v>85.471349353049902</v>
      </c>
      <c r="P21" s="2">
        <v>81.500293893021606</v>
      </c>
      <c r="Q21" s="2">
        <v>85.908852802514403</v>
      </c>
      <c r="R21" s="2">
        <v>269</v>
      </c>
      <c r="S21" s="2">
        <v>14.091147197485601</v>
      </c>
      <c r="T21" s="2">
        <v>74.883483005570099</v>
      </c>
      <c r="U21" s="2">
        <v>85.908852802514403</v>
      </c>
      <c r="V21" s="2">
        <v>83.120263449972498</v>
      </c>
      <c r="W21" s="2">
        <v>55.691874322860201</v>
      </c>
      <c r="X21" s="2">
        <v>85.908852802514403</v>
      </c>
      <c r="Y21" s="2">
        <v>85.908852802514403</v>
      </c>
      <c r="Z21" s="2">
        <v>56.688907500229803</v>
      </c>
      <c r="AA21" s="2">
        <v>85.908852802514403</v>
      </c>
      <c r="AB21" s="2">
        <v>81.678669394594394</v>
      </c>
      <c r="AC21" s="2">
        <v>570915.99831152405</v>
      </c>
      <c r="AD21" s="2">
        <v>2.8168929999999999</v>
      </c>
      <c r="AE21" s="2">
        <v>10625</v>
      </c>
      <c r="AF21" s="2">
        <v>7016</v>
      </c>
      <c r="AG21" s="2" t="s">
        <v>65</v>
      </c>
      <c r="AH21" s="2" t="s">
        <v>106</v>
      </c>
      <c r="AI21" s="2" t="s">
        <v>47</v>
      </c>
      <c r="AJ21" s="2" t="s">
        <v>48</v>
      </c>
      <c r="AK21" s="2" t="s">
        <v>49</v>
      </c>
      <c r="AL21" s="2" t="s">
        <v>50</v>
      </c>
    </row>
    <row r="22" spans="1:38" x14ac:dyDescent="0.2">
      <c r="A22" s="1">
        <v>0</v>
      </c>
      <c r="B22" s="2">
        <v>2.2000000000000002</v>
      </c>
      <c r="C22" s="2" t="s">
        <v>44</v>
      </c>
      <c r="D22" s="2" t="s">
        <v>62</v>
      </c>
      <c r="E22" s="2">
        <v>78.243992606284706</v>
      </c>
      <c r="F22" s="2">
        <v>2354</v>
      </c>
      <c r="G22" s="2">
        <v>21.756007393715301</v>
      </c>
      <c r="H22" s="2">
        <v>59.030142080496198</v>
      </c>
      <c r="I22" s="2">
        <v>78.243992606284706</v>
      </c>
      <c r="J22" s="2">
        <v>79.494024384743099</v>
      </c>
      <c r="K22" s="2">
        <v>60.069502083634298</v>
      </c>
      <c r="L22" s="2">
        <v>78.243992606284706</v>
      </c>
      <c r="M22" s="2">
        <v>78.243992606284607</v>
      </c>
      <c r="N22" s="2">
        <v>59.470563763829801</v>
      </c>
      <c r="O22" s="2">
        <v>78.243992606284706</v>
      </c>
      <c r="P22" s="2">
        <v>78.835442292793303</v>
      </c>
      <c r="Q22" s="2">
        <v>77.160817181770597</v>
      </c>
      <c r="R22" s="2">
        <v>436</v>
      </c>
      <c r="S22" s="2">
        <v>22.8391828182294</v>
      </c>
      <c r="T22" s="2">
        <v>58.209566571978399</v>
      </c>
      <c r="U22" s="2">
        <v>77.160817181770597</v>
      </c>
      <c r="V22" s="2">
        <v>79.229936355048096</v>
      </c>
      <c r="W22" s="2">
        <v>59.706500541711797</v>
      </c>
      <c r="X22" s="2">
        <v>77.160817181770597</v>
      </c>
      <c r="Y22" s="2">
        <v>77.160817181770597</v>
      </c>
      <c r="Z22" s="2">
        <v>58.768408287494303</v>
      </c>
      <c r="AA22" s="2">
        <v>77.160817181770597</v>
      </c>
      <c r="AB22" s="2">
        <v>78.112894818650702</v>
      </c>
      <c r="AC22" s="2">
        <v>222382.077895386</v>
      </c>
      <c r="AD22" s="2">
        <v>95.759724000000006</v>
      </c>
      <c r="AE22" s="2">
        <v>28530</v>
      </c>
      <c r="AF22" s="2">
        <v>26924</v>
      </c>
      <c r="AG22" s="2" t="s">
        <v>66</v>
      </c>
      <c r="AH22" s="2" t="s">
        <v>106</v>
      </c>
      <c r="AI22" s="2" t="s">
        <v>47</v>
      </c>
      <c r="AJ22" s="2" t="s">
        <v>48</v>
      </c>
      <c r="AK22" s="2" t="s">
        <v>49</v>
      </c>
      <c r="AL22" s="2" t="s">
        <v>50</v>
      </c>
    </row>
    <row r="23" spans="1:38" x14ac:dyDescent="0.2">
      <c r="A23" s="1">
        <v>0</v>
      </c>
      <c r="B23" s="2">
        <v>2.21</v>
      </c>
      <c r="C23" s="2" t="s">
        <v>44</v>
      </c>
      <c r="D23" s="2" t="s">
        <v>62</v>
      </c>
      <c r="E23" s="2">
        <v>84.454713493530505</v>
      </c>
      <c r="F23" s="2">
        <v>1682</v>
      </c>
      <c r="G23" s="2">
        <v>15.5452865064695</v>
      </c>
      <c r="H23" s="2">
        <v>66.486950181986302</v>
      </c>
      <c r="I23" s="2">
        <v>84.454713493530505</v>
      </c>
      <c r="J23" s="2">
        <v>81.219585125260195</v>
      </c>
      <c r="K23" s="2">
        <v>58.677803097101901</v>
      </c>
      <c r="L23" s="2">
        <v>84.454713493530505</v>
      </c>
      <c r="M23" s="2">
        <v>84.454713493530505</v>
      </c>
      <c r="N23" s="2">
        <v>60.442884312340396</v>
      </c>
      <c r="O23" s="2">
        <v>84.454713493530505</v>
      </c>
      <c r="P23" s="2">
        <v>82.079165980231295</v>
      </c>
      <c r="Q23" s="2">
        <v>85.123101100052395</v>
      </c>
      <c r="R23" s="2">
        <v>284</v>
      </c>
      <c r="S23" s="2">
        <v>14.8768988999476</v>
      </c>
      <c r="T23" s="2">
        <v>68.8025799214806</v>
      </c>
      <c r="U23" s="2">
        <v>85.123101100052395</v>
      </c>
      <c r="V23" s="2">
        <v>82.010678231960199</v>
      </c>
      <c r="W23" s="2">
        <v>59.153087757313102</v>
      </c>
      <c r="X23" s="2">
        <v>85.123101100052395</v>
      </c>
      <c r="Y23" s="2">
        <v>85.123101100052395</v>
      </c>
      <c r="Z23" s="2">
        <v>61.199186991869901</v>
      </c>
      <c r="AA23" s="2">
        <v>85.123101100052395</v>
      </c>
      <c r="AB23" s="2">
        <v>82.601434369503494</v>
      </c>
      <c r="AC23" s="2">
        <v>229753.25943857001</v>
      </c>
      <c r="AD23" s="2">
        <v>54.462150999999999</v>
      </c>
      <c r="AE23" s="2">
        <v>12302</v>
      </c>
      <c r="AF23" s="2">
        <v>10172</v>
      </c>
      <c r="AG23" s="2" t="s">
        <v>67</v>
      </c>
      <c r="AH23" s="2" t="s">
        <v>106</v>
      </c>
      <c r="AI23" s="2" t="s">
        <v>47</v>
      </c>
      <c r="AJ23" s="2" t="s">
        <v>48</v>
      </c>
      <c r="AK23" s="2" t="s">
        <v>49</v>
      </c>
      <c r="AL23" s="2" t="s">
        <v>50</v>
      </c>
    </row>
    <row r="24" spans="1:38" x14ac:dyDescent="0.2">
      <c r="A24" s="1">
        <v>0</v>
      </c>
      <c r="B24" s="2">
        <v>2.2200000000000002</v>
      </c>
      <c r="C24" s="2" t="s">
        <v>44</v>
      </c>
      <c r="D24" s="2" t="s">
        <v>62</v>
      </c>
      <c r="E24" s="2">
        <v>84.306839186691306</v>
      </c>
      <c r="F24" s="2">
        <v>1698</v>
      </c>
      <c r="G24" s="2">
        <v>15.693160813308699</v>
      </c>
      <c r="H24" s="2">
        <v>66.060467716713404</v>
      </c>
      <c r="I24" s="2">
        <v>84.306839186691306</v>
      </c>
      <c r="J24" s="2">
        <v>81.099469201734294</v>
      </c>
      <c r="K24" s="2">
        <v>58.693271359676402</v>
      </c>
      <c r="L24" s="2">
        <v>84.306839186691306</v>
      </c>
      <c r="M24" s="2">
        <v>84.306839186691306</v>
      </c>
      <c r="N24" s="2">
        <v>60.414262273083501</v>
      </c>
      <c r="O24" s="2">
        <v>84.306839186691306</v>
      </c>
      <c r="P24" s="2">
        <v>82.004556614716293</v>
      </c>
      <c r="Q24" s="2">
        <v>85.489785227867998</v>
      </c>
      <c r="R24" s="2">
        <v>277</v>
      </c>
      <c r="S24" s="2">
        <v>14.510214772132001</v>
      </c>
      <c r="T24" s="2">
        <v>70.3720537983002</v>
      </c>
      <c r="U24" s="2">
        <v>85.489785227867998</v>
      </c>
      <c r="V24" s="2">
        <v>82.2483735681013</v>
      </c>
      <c r="W24" s="2">
        <v>58.060888407367301</v>
      </c>
      <c r="X24" s="2">
        <v>85.489785227867998</v>
      </c>
      <c r="Y24" s="2">
        <v>85.489785227867998</v>
      </c>
      <c r="Z24" s="2">
        <v>59.991601756821701</v>
      </c>
      <c r="AA24" s="2">
        <v>85.489785227867998</v>
      </c>
      <c r="AB24" s="2">
        <v>82.427995480360494</v>
      </c>
      <c r="AC24" s="2">
        <v>232713.19496720101</v>
      </c>
      <c r="AD24" s="2">
        <v>69.776713999999998</v>
      </c>
      <c r="AE24" s="2">
        <v>14074</v>
      </c>
      <c r="AF24" s="2">
        <v>11420</v>
      </c>
      <c r="AG24" s="2" t="s">
        <v>68</v>
      </c>
      <c r="AH24" s="2" t="s">
        <v>106</v>
      </c>
      <c r="AI24" s="2" t="s">
        <v>47</v>
      </c>
      <c r="AJ24" s="2" t="s">
        <v>48</v>
      </c>
      <c r="AK24" s="2" t="s">
        <v>49</v>
      </c>
      <c r="AL24" s="2" t="s">
        <v>50</v>
      </c>
    </row>
    <row r="25" spans="1:38" x14ac:dyDescent="0.2">
      <c r="A25" s="1">
        <v>0</v>
      </c>
      <c r="B25" s="2">
        <v>2.23</v>
      </c>
      <c r="C25" s="2" t="s">
        <v>44</v>
      </c>
      <c r="D25" s="2" t="s">
        <v>69</v>
      </c>
      <c r="E25" s="2">
        <v>85.120147874306795</v>
      </c>
      <c r="F25" s="2">
        <v>1610</v>
      </c>
      <c r="G25" s="2">
        <v>14.879852125693199</v>
      </c>
      <c r="H25" s="2">
        <v>92.558698465520393</v>
      </c>
      <c r="I25" s="2">
        <v>85.120147874306795</v>
      </c>
      <c r="J25" s="2">
        <v>87.334657203421798</v>
      </c>
      <c r="K25" s="2">
        <v>50.062034739454099</v>
      </c>
      <c r="L25" s="2">
        <v>85.120147874306795</v>
      </c>
      <c r="M25" s="2">
        <v>85.120147874306795</v>
      </c>
      <c r="N25" s="2">
        <v>46.104141443880103</v>
      </c>
      <c r="O25" s="2">
        <v>85.120147874306795</v>
      </c>
      <c r="P25" s="2">
        <v>78.296796760578104</v>
      </c>
      <c r="Q25" s="2">
        <v>85.175484546883197</v>
      </c>
      <c r="R25" s="2">
        <v>283</v>
      </c>
      <c r="S25" s="2">
        <v>14.824515453116801</v>
      </c>
      <c r="T25" s="2">
        <v>92.583857442348005</v>
      </c>
      <c r="U25" s="2">
        <v>85.175484546883197</v>
      </c>
      <c r="V25" s="2">
        <v>87.374298945851805</v>
      </c>
      <c r="W25" s="2">
        <v>50.176056338028197</v>
      </c>
      <c r="X25" s="2">
        <v>85.175484546883197</v>
      </c>
      <c r="Y25" s="2">
        <v>85.175484546883197</v>
      </c>
      <c r="Z25" s="2">
        <v>46.3457823727164</v>
      </c>
      <c r="AA25" s="2">
        <v>85.175484546883197</v>
      </c>
      <c r="AB25" s="2">
        <v>78.408978564562204</v>
      </c>
      <c r="AC25" s="2">
        <v>57536.665000478599</v>
      </c>
      <c r="AD25" s="2">
        <v>65.589530999999994</v>
      </c>
      <c r="AE25" s="2">
        <v>19260</v>
      </c>
      <c r="AF25" s="2">
        <v>27190</v>
      </c>
      <c r="AG25" s="2" t="s">
        <v>70</v>
      </c>
      <c r="AH25" s="2" t="s">
        <v>106</v>
      </c>
      <c r="AI25" s="2" t="s">
        <v>47</v>
      </c>
      <c r="AJ25" s="2" t="s">
        <v>48</v>
      </c>
      <c r="AK25" s="2" t="s">
        <v>49</v>
      </c>
      <c r="AL25" s="2" t="s">
        <v>50</v>
      </c>
    </row>
    <row r="26" spans="1:38" x14ac:dyDescent="0.2">
      <c r="A26" s="1">
        <v>0</v>
      </c>
      <c r="B26" s="2">
        <v>2.2400000000000002</v>
      </c>
      <c r="C26" s="2" t="s">
        <v>44</v>
      </c>
      <c r="D26" s="2" t="s">
        <v>69</v>
      </c>
      <c r="E26" s="2">
        <v>85.443622920517598</v>
      </c>
      <c r="F26" s="2">
        <v>1575</v>
      </c>
      <c r="G26" s="2">
        <v>14.556377079482401</v>
      </c>
      <c r="H26" s="2">
        <v>71.592794646191905</v>
      </c>
      <c r="I26" s="2">
        <v>85.443622920517598</v>
      </c>
      <c r="J26" s="2">
        <v>81.813398062917898</v>
      </c>
      <c r="K26" s="2">
        <v>54.039008586772098</v>
      </c>
      <c r="L26" s="2">
        <v>85.443622920517598</v>
      </c>
      <c r="M26" s="2">
        <v>85.443622920517598</v>
      </c>
      <c r="N26" s="2">
        <v>54.015684290412302</v>
      </c>
      <c r="O26" s="2">
        <v>85.443622920517598</v>
      </c>
      <c r="P26" s="2">
        <v>80.703959509448595</v>
      </c>
      <c r="Q26" s="2">
        <v>85.123101100052395</v>
      </c>
      <c r="R26" s="2">
        <v>284</v>
      </c>
      <c r="S26" s="2">
        <v>14.8768988999476</v>
      </c>
      <c r="T26" s="2">
        <v>68.053311793214903</v>
      </c>
      <c r="U26" s="2">
        <v>85.123101100052395</v>
      </c>
      <c r="V26" s="2">
        <v>80.735077699291907</v>
      </c>
      <c r="W26" s="2">
        <v>53.777464788732402</v>
      </c>
      <c r="X26" s="2">
        <v>85.123101100052395</v>
      </c>
      <c r="Y26" s="2">
        <v>85.123101100052395</v>
      </c>
      <c r="Z26" s="2">
        <v>53.6599792128224</v>
      </c>
      <c r="AA26" s="2">
        <v>85.123101100052395</v>
      </c>
      <c r="AB26" s="2">
        <v>80.482640656417701</v>
      </c>
      <c r="AC26" s="2">
        <v>58314.065977892402</v>
      </c>
      <c r="AD26" s="2">
        <v>51.361924000000002</v>
      </c>
      <c r="AE26" s="2">
        <v>19294</v>
      </c>
      <c r="AF26" s="2">
        <v>27190</v>
      </c>
      <c r="AG26" s="2" t="s">
        <v>71</v>
      </c>
      <c r="AH26" s="2" t="s">
        <v>106</v>
      </c>
      <c r="AI26" s="2" t="s">
        <v>47</v>
      </c>
      <c r="AJ26" s="2" t="s">
        <v>48</v>
      </c>
      <c r="AK26" s="2" t="s">
        <v>49</v>
      </c>
      <c r="AL26" s="2" t="s">
        <v>50</v>
      </c>
    </row>
    <row r="27" spans="1:38" x14ac:dyDescent="0.2">
      <c r="A27" s="1">
        <v>0</v>
      </c>
      <c r="B27" s="2">
        <v>2.2999999999999998</v>
      </c>
      <c r="C27" s="2" t="s">
        <v>44</v>
      </c>
      <c r="D27" s="2" t="s">
        <v>45</v>
      </c>
      <c r="E27" s="2">
        <v>85.221811460258806</v>
      </c>
      <c r="F27" s="2">
        <v>1599</v>
      </c>
      <c r="G27" s="2">
        <v>14.778188539741199</v>
      </c>
      <c r="H27" s="2">
        <v>75.977800451411397</v>
      </c>
      <c r="I27" s="2">
        <v>85.221811460258806</v>
      </c>
      <c r="J27" s="2">
        <v>82.514526165729507</v>
      </c>
      <c r="K27" s="2">
        <v>50.735860822286398</v>
      </c>
      <c r="L27" s="2">
        <v>85.221811460258806</v>
      </c>
      <c r="M27" s="2">
        <v>85.221811460258806</v>
      </c>
      <c r="N27" s="2">
        <v>47.575103314697103</v>
      </c>
      <c r="O27" s="2">
        <v>85.221811460258806</v>
      </c>
      <c r="P27" s="2">
        <v>78.763280332222095</v>
      </c>
      <c r="Q27" s="2">
        <v>85.489785227867998</v>
      </c>
      <c r="R27" s="2">
        <v>277</v>
      </c>
      <c r="S27" s="2">
        <v>14.510214772132001</v>
      </c>
      <c r="T27" s="2">
        <v>92.718191377497405</v>
      </c>
      <c r="U27" s="2">
        <v>85.489785227867998</v>
      </c>
      <c r="V27" s="2">
        <v>87.602997368709495</v>
      </c>
      <c r="W27" s="2">
        <v>51.232394366197198</v>
      </c>
      <c r="X27" s="2">
        <v>85.489785227867998</v>
      </c>
      <c r="Y27" s="2">
        <v>85.489785227867998</v>
      </c>
      <c r="Z27" s="2">
        <v>48.478648267610602</v>
      </c>
      <c r="AA27" s="2">
        <v>85.489785227867998</v>
      </c>
      <c r="AB27" s="2">
        <v>79.153515179665703</v>
      </c>
      <c r="AC27" s="2">
        <v>498250.138146988</v>
      </c>
      <c r="AD27" s="2">
        <v>0.89746599999999999</v>
      </c>
      <c r="AE27" s="2">
        <v>7481</v>
      </c>
      <c r="AF27" s="2">
        <v>6088</v>
      </c>
      <c r="AG27" s="2" t="s">
        <v>72</v>
      </c>
      <c r="AH27" s="2" t="s">
        <v>106</v>
      </c>
      <c r="AI27" s="2" t="s">
        <v>47</v>
      </c>
      <c r="AJ27" s="2" t="s">
        <v>48</v>
      </c>
      <c r="AK27" s="2" t="s">
        <v>49</v>
      </c>
      <c r="AL27" s="2" t="s">
        <v>50</v>
      </c>
    </row>
    <row r="28" spans="1:38" x14ac:dyDescent="0.2">
      <c r="A28" s="1">
        <v>0</v>
      </c>
      <c r="B28" s="2">
        <v>2.4</v>
      </c>
      <c r="C28" s="2" t="s">
        <v>44</v>
      </c>
      <c r="D28" s="2" t="s">
        <v>73</v>
      </c>
      <c r="E28" s="2">
        <v>86.072088724584106</v>
      </c>
      <c r="F28" s="2">
        <v>1507</v>
      </c>
      <c r="G28" s="2">
        <v>13.9279112754159</v>
      </c>
      <c r="H28" s="2">
        <v>73.394451293619795</v>
      </c>
      <c r="I28" s="2">
        <v>86.072088724584106</v>
      </c>
      <c r="J28" s="2">
        <v>83.3406745869068</v>
      </c>
      <c r="K28" s="2">
        <v>59.193079488544903</v>
      </c>
      <c r="L28" s="2">
        <v>86.072088724584106</v>
      </c>
      <c r="M28" s="2">
        <v>86.072088724584106</v>
      </c>
      <c r="N28" s="2">
        <v>61.579383487952498</v>
      </c>
      <c r="O28" s="2">
        <v>86.072088724584106</v>
      </c>
      <c r="P28" s="2">
        <v>83.115046062029805</v>
      </c>
      <c r="Q28" s="2">
        <v>86.537454164484004</v>
      </c>
      <c r="R28" s="2">
        <v>257</v>
      </c>
      <c r="S28" s="2">
        <v>13.462545835516</v>
      </c>
      <c r="T28" s="2">
        <v>75.713209442491205</v>
      </c>
      <c r="U28" s="2">
        <v>86.537454164484004</v>
      </c>
      <c r="V28" s="2">
        <v>84.1967349668585</v>
      </c>
      <c r="W28" s="2">
        <v>59.983856988082302</v>
      </c>
      <c r="X28" s="2">
        <v>86.537454164484004</v>
      </c>
      <c r="Y28" s="2">
        <v>86.537454164484004</v>
      </c>
      <c r="Z28" s="2">
        <v>62.708183687352999</v>
      </c>
      <c r="AA28" s="2">
        <v>86.537454164484004</v>
      </c>
      <c r="AB28" s="2">
        <v>83.648584545696806</v>
      </c>
      <c r="AC28" s="2">
        <v>190111.39614154701</v>
      </c>
      <c r="AD28" s="2">
        <v>2.4687480000000002</v>
      </c>
      <c r="AE28" s="2">
        <v>3808698</v>
      </c>
      <c r="AF28" s="2">
        <v>12647</v>
      </c>
      <c r="AG28" s="2" t="s">
        <v>47</v>
      </c>
      <c r="AH28" s="2" t="s">
        <v>106</v>
      </c>
      <c r="AI28" s="2" t="s">
        <v>47</v>
      </c>
      <c r="AJ28" s="2" t="s">
        <v>48</v>
      </c>
      <c r="AK28" s="2" t="s">
        <v>49</v>
      </c>
      <c r="AL28" s="2" t="s">
        <v>50</v>
      </c>
    </row>
    <row r="29" spans="1:38" x14ac:dyDescent="0.2">
      <c r="A29" s="1">
        <v>0</v>
      </c>
      <c r="B29" s="2">
        <v>2.5</v>
      </c>
      <c r="C29" s="2" t="s">
        <v>44</v>
      </c>
      <c r="D29" s="2" t="s">
        <v>74</v>
      </c>
      <c r="E29" s="2">
        <v>85.101663585951897</v>
      </c>
      <c r="F29" s="2">
        <v>1612</v>
      </c>
      <c r="G29" s="2">
        <v>14.898336414048099</v>
      </c>
      <c r="H29" s="2" t="s">
        <v>52</v>
      </c>
      <c r="I29" s="2">
        <v>85.101663585951897</v>
      </c>
      <c r="J29" s="2" t="s">
        <v>52</v>
      </c>
      <c r="K29" s="2">
        <v>50</v>
      </c>
      <c r="L29" s="2">
        <v>85.101663585951897</v>
      </c>
      <c r="M29" s="2">
        <v>85.101663585951897</v>
      </c>
      <c r="N29" s="2">
        <v>45.975634112242901</v>
      </c>
      <c r="O29" s="2">
        <v>85.101663585951897</v>
      </c>
      <c r="P29" s="2">
        <v>78.252058947418206</v>
      </c>
      <c r="Q29" s="2">
        <v>85.123101100052395</v>
      </c>
      <c r="R29" s="2">
        <v>284</v>
      </c>
      <c r="S29" s="2">
        <v>14.8768988999476</v>
      </c>
      <c r="T29" s="2" t="s">
        <v>52</v>
      </c>
      <c r="U29" s="2">
        <v>85.123101100052395</v>
      </c>
      <c r="V29" s="2" t="s">
        <v>52</v>
      </c>
      <c r="W29" s="2">
        <v>50</v>
      </c>
      <c r="X29" s="2">
        <v>85.123101100052395</v>
      </c>
      <c r="Y29" s="2">
        <v>85.123101100052395</v>
      </c>
      <c r="Z29" s="2">
        <v>45.9818902093945</v>
      </c>
      <c r="AA29" s="2">
        <v>85.123101100052395</v>
      </c>
      <c r="AB29" s="2">
        <v>78.282421781315904</v>
      </c>
      <c r="AC29" s="2">
        <v>486139.19216426299</v>
      </c>
      <c r="AD29" s="2">
        <v>1.1099410000000001</v>
      </c>
      <c r="AE29" s="2">
        <v>13358</v>
      </c>
      <c r="AF29" s="2">
        <v>5998</v>
      </c>
      <c r="AG29" s="2" t="s">
        <v>75</v>
      </c>
      <c r="AH29" s="2" t="s">
        <v>106</v>
      </c>
      <c r="AI29" s="2" t="s">
        <v>47</v>
      </c>
      <c r="AJ29" s="2" t="s">
        <v>48</v>
      </c>
      <c r="AK29" s="2" t="s">
        <v>49</v>
      </c>
      <c r="AL29" s="2" t="s">
        <v>50</v>
      </c>
    </row>
    <row r="30" spans="1:38" x14ac:dyDescent="0.2">
      <c r="A30" s="1">
        <v>0</v>
      </c>
      <c r="B30" s="2">
        <v>2.6</v>
      </c>
      <c r="C30" s="2" t="s">
        <v>44</v>
      </c>
      <c r="D30" s="2" t="s">
        <v>76</v>
      </c>
      <c r="E30" s="2">
        <v>85.101663585951897</v>
      </c>
      <c r="F30" s="2">
        <v>1612</v>
      </c>
      <c r="G30" s="2">
        <v>14.898336414048099</v>
      </c>
      <c r="H30" s="2" t="s">
        <v>52</v>
      </c>
      <c r="I30" s="2">
        <v>85.101663585951897</v>
      </c>
      <c r="J30" s="2" t="s">
        <v>52</v>
      </c>
      <c r="K30" s="2">
        <v>50</v>
      </c>
      <c r="L30" s="2">
        <v>85.101663585951897</v>
      </c>
      <c r="M30" s="2">
        <v>85.101663585951897</v>
      </c>
      <c r="N30" s="2">
        <v>45.975634112242901</v>
      </c>
      <c r="O30" s="2">
        <v>85.101663585951897</v>
      </c>
      <c r="P30" s="2">
        <v>78.252058947418206</v>
      </c>
      <c r="Q30" s="2">
        <v>85.123101100052395</v>
      </c>
      <c r="R30" s="2">
        <v>284</v>
      </c>
      <c r="S30" s="2">
        <v>14.8768988999476</v>
      </c>
      <c r="T30" s="2" t="s">
        <v>52</v>
      </c>
      <c r="U30" s="2">
        <v>85.123101100052395</v>
      </c>
      <c r="V30" s="2" t="s">
        <v>52</v>
      </c>
      <c r="W30" s="2">
        <v>50</v>
      </c>
      <c r="X30" s="2">
        <v>85.123101100052395</v>
      </c>
      <c r="Y30" s="2">
        <v>85.123101100052395</v>
      </c>
      <c r="Z30" s="2">
        <v>45.9818902093945</v>
      </c>
      <c r="AA30" s="2">
        <v>85.123101100052395</v>
      </c>
      <c r="AB30" s="2">
        <v>78.282421781315904</v>
      </c>
      <c r="AC30" s="2">
        <v>419347.33741570398</v>
      </c>
      <c r="AD30" s="2">
        <v>0.81626200000000004</v>
      </c>
      <c r="AE30" s="2">
        <v>13316</v>
      </c>
      <c r="AF30" s="2">
        <v>5998</v>
      </c>
      <c r="AG30" s="2" t="s">
        <v>77</v>
      </c>
      <c r="AH30" s="2" t="s">
        <v>106</v>
      </c>
      <c r="AI30" s="2" t="s">
        <v>47</v>
      </c>
      <c r="AJ30" s="2" t="s">
        <v>48</v>
      </c>
      <c r="AK30" s="2" t="s">
        <v>49</v>
      </c>
      <c r="AL30" s="2" t="s">
        <v>50</v>
      </c>
    </row>
    <row r="31" spans="1:38" x14ac:dyDescent="0.2">
      <c r="A31" s="1">
        <v>0</v>
      </c>
      <c r="B31" s="2">
        <v>2.7</v>
      </c>
      <c r="C31" s="2" t="s">
        <v>44</v>
      </c>
      <c r="D31" s="2" t="s">
        <v>78</v>
      </c>
      <c r="E31" s="2">
        <v>83.622920517560104</v>
      </c>
      <c r="F31" s="2">
        <v>1772</v>
      </c>
      <c r="G31" s="2">
        <v>16.3770794824399</v>
      </c>
      <c r="H31" s="2">
        <v>64.674766474636002</v>
      </c>
      <c r="I31" s="2">
        <v>83.622920517560104</v>
      </c>
      <c r="J31" s="2">
        <v>80.839431581335404</v>
      </c>
      <c r="K31" s="2">
        <v>59.340526524567103</v>
      </c>
      <c r="L31" s="2">
        <v>83.622920517560104</v>
      </c>
      <c r="M31" s="2">
        <v>83.622920517560104</v>
      </c>
      <c r="N31" s="2">
        <v>60.879250926853601</v>
      </c>
      <c r="O31" s="2">
        <v>83.622920517560104</v>
      </c>
      <c r="P31" s="2">
        <v>81.819967800914995</v>
      </c>
      <c r="Q31" s="2">
        <v>83.918281822943996</v>
      </c>
      <c r="R31" s="2">
        <v>307</v>
      </c>
      <c r="S31" s="2">
        <v>16.081718177056</v>
      </c>
      <c r="T31" s="2">
        <v>66.481672913333995</v>
      </c>
      <c r="U31" s="2">
        <v>83.918281822943996</v>
      </c>
      <c r="V31" s="2">
        <v>82.038886850650698</v>
      </c>
      <c r="W31" s="2">
        <v>62.368147345612101</v>
      </c>
      <c r="X31" s="2">
        <v>83.918281822943996</v>
      </c>
      <c r="Y31" s="2">
        <v>83.918281822943896</v>
      </c>
      <c r="Z31" s="2">
        <v>63.872267055111102</v>
      </c>
      <c r="AA31" s="2">
        <v>83.918281822943996</v>
      </c>
      <c r="AB31" s="2">
        <v>82.776420222244596</v>
      </c>
      <c r="AC31" s="2">
        <v>272304.01409336901</v>
      </c>
      <c r="AD31" s="2">
        <v>1.9412450000000001</v>
      </c>
      <c r="AE31" s="2">
        <v>13978</v>
      </c>
      <c r="AF31" s="2">
        <v>12885</v>
      </c>
      <c r="AG31" s="2" t="s">
        <v>79</v>
      </c>
      <c r="AH31" s="2" t="s">
        <v>106</v>
      </c>
      <c r="AI31" s="2" t="s">
        <v>47</v>
      </c>
      <c r="AJ31" s="2" t="s">
        <v>48</v>
      </c>
      <c r="AK31" s="2" t="s">
        <v>49</v>
      </c>
      <c r="AL31" s="2" t="s">
        <v>50</v>
      </c>
    </row>
    <row r="32" spans="1:38" x14ac:dyDescent="0.2">
      <c r="A32" s="1">
        <v>0</v>
      </c>
      <c r="B32" s="2">
        <v>2.8</v>
      </c>
      <c r="C32" s="2" t="s">
        <v>44</v>
      </c>
      <c r="D32" s="2" t="s">
        <v>78</v>
      </c>
      <c r="E32" s="2">
        <v>84.057301293900196</v>
      </c>
      <c r="F32" s="2">
        <v>1725</v>
      </c>
      <c r="G32" s="2">
        <v>15.942698706099801</v>
      </c>
      <c r="H32" s="2">
        <v>64.912361098923199</v>
      </c>
      <c r="I32" s="2">
        <v>84.057301293900196</v>
      </c>
      <c r="J32" s="2">
        <v>80.566286364912997</v>
      </c>
      <c r="K32" s="2">
        <v>57.727865832494402</v>
      </c>
      <c r="L32" s="2">
        <v>84.057301293900196</v>
      </c>
      <c r="M32" s="2">
        <v>84.057301293900196</v>
      </c>
      <c r="N32" s="2">
        <v>59.237270795232597</v>
      </c>
      <c r="O32" s="2">
        <v>84.057301293900196</v>
      </c>
      <c r="P32" s="2">
        <v>81.567361008175695</v>
      </c>
      <c r="Q32" s="2">
        <v>84.337349397590401</v>
      </c>
      <c r="R32" s="2">
        <v>299</v>
      </c>
      <c r="S32" s="2">
        <v>15.662650602409601</v>
      </c>
      <c r="T32" s="2">
        <v>66.584366576819406</v>
      </c>
      <c r="U32" s="2">
        <v>84.337349397590401</v>
      </c>
      <c r="V32" s="2">
        <v>81.547754359757107</v>
      </c>
      <c r="W32" s="2">
        <v>59.999133261105101</v>
      </c>
      <c r="X32" s="2">
        <v>84.337349397590401</v>
      </c>
      <c r="Y32" s="2">
        <v>84.337349397590401</v>
      </c>
      <c r="Z32" s="2">
        <v>61.823192040799299</v>
      </c>
      <c r="AA32" s="2">
        <v>84.337349397590401</v>
      </c>
      <c r="AB32" s="2">
        <v>82.417656580674304</v>
      </c>
      <c r="AC32" s="2">
        <v>755.68379675653796</v>
      </c>
      <c r="AD32" s="2">
        <v>78.467673000000005</v>
      </c>
      <c r="AE32" s="2">
        <v>5608634</v>
      </c>
      <c r="AF32" s="2">
        <v>2783317</v>
      </c>
      <c r="AG32" s="2" t="s">
        <v>80</v>
      </c>
      <c r="AH32" s="2" t="s">
        <v>106</v>
      </c>
      <c r="AI32" s="2" t="s">
        <v>47</v>
      </c>
      <c r="AJ32" s="2" t="s">
        <v>48</v>
      </c>
      <c r="AK32" s="2" t="s">
        <v>49</v>
      </c>
      <c r="AL32" s="2" t="s">
        <v>50</v>
      </c>
    </row>
    <row r="33" spans="1:38" x14ac:dyDescent="0.2">
      <c r="A33" s="1">
        <v>0</v>
      </c>
      <c r="B33" s="2">
        <v>2.9</v>
      </c>
      <c r="C33" s="2" t="s">
        <v>44</v>
      </c>
      <c r="D33" s="2" t="s">
        <v>51</v>
      </c>
      <c r="E33" s="2">
        <v>85.101663585951897</v>
      </c>
      <c r="F33" s="2">
        <v>1612</v>
      </c>
      <c r="G33" s="2">
        <v>14.898336414048099</v>
      </c>
      <c r="H33" s="2" t="s">
        <v>52</v>
      </c>
      <c r="I33" s="2">
        <v>85.101663585951897</v>
      </c>
      <c r="J33" s="2" t="s">
        <v>52</v>
      </c>
      <c r="K33" s="2">
        <v>50</v>
      </c>
      <c r="L33" s="2">
        <v>85.101663585951897</v>
      </c>
      <c r="M33" s="2">
        <v>85.101663585951897</v>
      </c>
      <c r="N33" s="2">
        <v>45.975634112242901</v>
      </c>
      <c r="O33" s="2">
        <v>85.101663585951897</v>
      </c>
      <c r="P33" s="2">
        <v>78.252058947418206</v>
      </c>
      <c r="Q33" s="2">
        <v>85.123101100052395</v>
      </c>
      <c r="R33" s="2">
        <v>284</v>
      </c>
      <c r="S33" s="2">
        <v>14.8768988999476</v>
      </c>
      <c r="T33" s="2" t="s">
        <v>52</v>
      </c>
      <c r="U33" s="2">
        <v>85.123101100052395</v>
      </c>
      <c r="V33" s="2" t="s">
        <v>52</v>
      </c>
      <c r="W33" s="2">
        <v>50</v>
      </c>
      <c r="X33" s="2">
        <v>85.123101100052395</v>
      </c>
      <c r="Y33" s="2">
        <v>85.123101100052395</v>
      </c>
      <c r="Z33" s="2">
        <v>45.9818902093945</v>
      </c>
      <c r="AA33" s="2">
        <v>85.123101100052395</v>
      </c>
      <c r="AB33" s="2">
        <v>78.282421781315904</v>
      </c>
      <c r="AC33" s="2">
        <v>13517.1938205686</v>
      </c>
      <c r="AD33" s="2">
        <v>10.612705</v>
      </c>
      <c r="AE33" s="2">
        <v>643633</v>
      </c>
      <c r="AF33" s="2">
        <v>642320</v>
      </c>
      <c r="AG33" s="2" t="s">
        <v>81</v>
      </c>
      <c r="AH33" s="2" t="s">
        <v>106</v>
      </c>
      <c r="AI33" s="2" t="s">
        <v>47</v>
      </c>
      <c r="AJ33" s="2" t="s">
        <v>48</v>
      </c>
      <c r="AK33" s="2" t="s">
        <v>49</v>
      </c>
      <c r="AL33" s="2" t="s">
        <v>50</v>
      </c>
    </row>
  </sheetData>
  <sortState xmlns:xlrd2="http://schemas.microsoft.com/office/spreadsheetml/2017/richdata2" ref="A10:AL33">
    <sortCondition ref="B10:B33"/>
  </sortState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2ACD-3D66-47F6-9678-A334982784AC}">
  <dimension ref="A1:AM33"/>
  <sheetViews>
    <sheetView topLeftCell="A7" workbookViewId="0"/>
  </sheetViews>
  <sheetFormatPr baseColWidth="10" defaultColWidth="11" defaultRowHeight="16" x14ac:dyDescent="0.2"/>
  <sheetData>
    <row r="1" spans="1:39" ht="27" x14ac:dyDescent="0.2">
      <c r="A1" s="7" t="s">
        <v>1</v>
      </c>
      <c r="B1" s="8" t="s">
        <v>110</v>
      </c>
      <c r="C1" s="8" t="s">
        <v>110</v>
      </c>
      <c r="D1" s="8" t="s">
        <v>110</v>
      </c>
      <c r="E1" s="8" t="s">
        <v>110</v>
      </c>
      <c r="F1" s="8" t="s">
        <v>110</v>
      </c>
      <c r="G1" s="8" t="s">
        <v>110</v>
      </c>
      <c r="H1" s="8" t="s">
        <v>110</v>
      </c>
      <c r="I1" s="8" t="s">
        <v>110</v>
      </c>
      <c r="J1" s="8" t="s">
        <v>110</v>
      </c>
      <c r="K1" s="8" t="s">
        <v>110</v>
      </c>
      <c r="L1" s="8" t="s">
        <v>110</v>
      </c>
      <c r="M1" s="8" t="s">
        <v>110</v>
      </c>
      <c r="N1" s="8" t="s">
        <v>110</v>
      </c>
      <c r="O1" s="8" t="s">
        <v>110</v>
      </c>
      <c r="P1" s="8" t="s">
        <v>110</v>
      </c>
      <c r="Q1" s="8" t="s">
        <v>110</v>
      </c>
      <c r="R1" s="8" t="s">
        <v>110</v>
      </c>
      <c r="S1" s="8" t="s">
        <v>110</v>
      </c>
      <c r="T1" s="8" t="s">
        <v>110</v>
      </c>
      <c r="U1" s="8" t="s">
        <v>110</v>
      </c>
      <c r="V1" s="8" t="s">
        <v>110</v>
      </c>
      <c r="W1" s="8" t="s">
        <v>110</v>
      </c>
      <c r="X1" s="8" t="s">
        <v>110</v>
      </c>
      <c r="Y1" s="8" t="s">
        <v>110</v>
      </c>
      <c r="Z1" s="8" t="s">
        <v>110</v>
      </c>
      <c r="AA1" s="8" t="s">
        <v>110</v>
      </c>
      <c r="AB1" s="8" t="s">
        <v>110</v>
      </c>
      <c r="AC1" s="8" t="s">
        <v>110</v>
      </c>
      <c r="AD1" s="8" t="s">
        <v>110</v>
      </c>
      <c r="AE1" s="8" t="s">
        <v>110</v>
      </c>
      <c r="AF1" s="8" t="s">
        <v>110</v>
      </c>
      <c r="AG1" s="8" t="s">
        <v>110</v>
      </c>
      <c r="AH1" s="8" t="s">
        <v>110</v>
      </c>
      <c r="AI1" s="8" t="s">
        <v>110</v>
      </c>
      <c r="AJ1" s="8" t="s">
        <v>110</v>
      </c>
      <c r="AK1" s="8" t="s">
        <v>110</v>
      </c>
      <c r="AL1" s="8" t="s">
        <v>110</v>
      </c>
      <c r="AM1" s="8" t="s">
        <v>110</v>
      </c>
    </row>
    <row r="2" spans="1:39" ht="27" x14ac:dyDescent="0.2">
      <c r="A2" s="7" t="s">
        <v>105</v>
      </c>
      <c r="B2" s="8" t="s">
        <v>110</v>
      </c>
      <c r="C2" s="8" t="s">
        <v>110</v>
      </c>
      <c r="D2" s="8" t="s">
        <v>110</v>
      </c>
      <c r="E2" s="8" t="s">
        <v>110</v>
      </c>
      <c r="F2" s="8" t="s">
        <v>110</v>
      </c>
      <c r="G2" s="8" t="s">
        <v>110</v>
      </c>
      <c r="H2" s="8" t="s">
        <v>110</v>
      </c>
      <c r="I2" s="8" t="s">
        <v>110</v>
      </c>
      <c r="J2" s="8" t="s">
        <v>110</v>
      </c>
      <c r="K2" s="8" t="s">
        <v>110</v>
      </c>
      <c r="L2" s="8" t="s">
        <v>110</v>
      </c>
      <c r="M2" s="8" t="s">
        <v>110</v>
      </c>
      <c r="N2" s="8" t="s">
        <v>110</v>
      </c>
      <c r="O2" s="8" t="s">
        <v>110</v>
      </c>
      <c r="P2" s="8" t="s">
        <v>110</v>
      </c>
      <c r="Q2" s="8" t="s">
        <v>110</v>
      </c>
      <c r="R2" s="8" t="s">
        <v>110</v>
      </c>
      <c r="S2" s="8" t="s">
        <v>110</v>
      </c>
      <c r="T2" s="8" t="s">
        <v>110</v>
      </c>
      <c r="U2" s="8" t="s">
        <v>110</v>
      </c>
      <c r="V2" s="8" t="s">
        <v>110</v>
      </c>
      <c r="W2" s="8" t="s">
        <v>110</v>
      </c>
      <c r="X2" s="8" t="s">
        <v>110</v>
      </c>
      <c r="Y2" s="8" t="s">
        <v>110</v>
      </c>
      <c r="Z2" s="8" t="s">
        <v>110</v>
      </c>
      <c r="AA2" s="8" t="s">
        <v>110</v>
      </c>
      <c r="AB2" s="8" t="s">
        <v>110</v>
      </c>
      <c r="AC2" s="8" t="s">
        <v>110</v>
      </c>
      <c r="AD2" s="8" t="s">
        <v>110</v>
      </c>
      <c r="AE2" s="8" t="s">
        <v>110</v>
      </c>
      <c r="AF2" s="8" t="s">
        <v>110</v>
      </c>
      <c r="AG2" s="8" t="s">
        <v>110</v>
      </c>
      <c r="AH2" s="8" t="s">
        <v>110</v>
      </c>
      <c r="AI2" s="8" t="s">
        <v>110</v>
      </c>
      <c r="AJ2" s="8" t="s">
        <v>110</v>
      </c>
      <c r="AK2" s="8" t="s">
        <v>110</v>
      </c>
      <c r="AL2" s="8" t="s">
        <v>110</v>
      </c>
      <c r="AM2" s="8" t="s">
        <v>110</v>
      </c>
    </row>
    <row r="3" spans="1:39" ht="27" x14ac:dyDescent="0.2">
      <c r="A3" s="7" t="s">
        <v>3</v>
      </c>
      <c r="B3" s="8" t="s">
        <v>110</v>
      </c>
      <c r="C3" s="8" t="s">
        <v>110</v>
      </c>
      <c r="D3" s="8" t="s">
        <v>110</v>
      </c>
      <c r="E3" s="8" t="s">
        <v>110</v>
      </c>
      <c r="F3" s="8" t="s">
        <v>110</v>
      </c>
      <c r="G3" s="8" t="s">
        <v>110</v>
      </c>
      <c r="H3" s="8" t="s">
        <v>110</v>
      </c>
      <c r="I3" s="8" t="s">
        <v>110</v>
      </c>
      <c r="J3" s="8" t="s">
        <v>110</v>
      </c>
      <c r="K3" s="8" t="s">
        <v>110</v>
      </c>
      <c r="L3" s="8" t="s">
        <v>110</v>
      </c>
      <c r="M3" s="8" t="s">
        <v>110</v>
      </c>
      <c r="N3" s="8" t="s">
        <v>110</v>
      </c>
      <c r="O3" s="8" t="s">
        <v>110</v>
      </c>
      <c r="P3" s="8" t="s">
        <v>110</v>
      </c>
      <c r="Q3" s="8" t="s">
        <v>110</v>
      </c>
      <c r="R3" s="8" t="s">
        <v>110</v>
      </c>
      <c r="S3" s="8" t="s">
        <v>110</v>
      </c>
      <c r="T3" s="8" t="s">
        <v>110</v>
      </c>
      <c r="U3" s="8" t="s">
        <v>110</v>
      </c>
      <c r="V3" s="8" t="s">
        <v>110</v>
      </c>
      <c r="W3" s="8" t="s">
        <v>110</v>
      </c>
      <c r="X3" s="8" t="s">
        <v>110</v>
      </c>
      <c r="Y3" s="8" t="s">
        <v>110</v>
      </c>
      <c r="Z3" s="8" t="s">
        <v>110</v>
      </c>
      <c r="AA3" s="8" t="s">
        <v>110</v>
      </c>
      <c r="AB3" s="8" t="s">
        <v>110</v>
      </c>
      <c r="AC3" s="8" t="s">
        <v>110</v>
      </c>
      <c r="AD3" s="8" t="s">
        <v>110</v>
      </c>
      <c r="AE3" s="8" t="s">
        <v>110</v>
      </c>
      <c r="AF3" s="8" t="s">
        <v>110</v>
      </c>
      <c r="AG3" s="8" t="s">
        <v>110</v>
      </c>
      <c r="AH3" s="8" t="s">
        <v>110</v>
      </c>
      <c r="AI3" s="8" t="s">
        <v>110</v>
      </c>
      <c r="AJ3" s="8" t="s">
        <v>110</v>
      </c>
      <c r="AK3" s="8" t="s">
        <v>110</v>
      </c>
      <c r="AL3" s="8" t="s">
        <v>110</v>
      </c>
      <c r="AM3" s="8" t="s">
        <v>110</v>
      </c>
    </row>
    <row r="4" spans="1:39" ht="27" x14ac:dyDescent="0.2">
      <c r="A4" s="7" t="s">
        <v>4</v>
      </c>
      <c r="B4" s="8" t="s">
        <v>110</v>
      </c>
      <c r="C4" s="8" t="s">
        <v>110</v>
      </c>
      <c r="D4" s="8" t="s">
        <v>110</v>
      </c>
      <c r="E4" s="8" t="s">
        <v>110</v>
      </c>
      <c r="F4" s="8" t="s">
        <v>110</v>
      </c>
      <c r="G4" s="8" t="s">
        <v>110</v>
      </c>
      <c r="H4" s="8" t="s">
        <v>110</v>
      </c>
      <c r="I4" s="8" t="s">
        <v>110</v>
      </c>
      <c r="J4" s="8" t="s">
        <v>110</v>
      </c>
      <c r="K4" s="8" t="s">
        <v>110</v>
      </c>
      <c r="L4" s="8" t="s">
        <v>110</v>
      </c>
      <c r="M4" s="8" t="s">
        <v>110</v>
      </c>
      <c r="N4" s="8" t="s">
        <v>110</v>
      </c>
      <c r="O4" s="8" t="s">
        <v>110</v>
      </c>
      <c r="P4" s="8" t="s">
        <v>110</v>
      </c>
      <c r="Q4" s="8" t="s">
        <v>110</v>
      </c>
      <c r="R4" s="8" t="s">
        <v>110</v>
      </c>
      <c r="S4" s="8" t="s">
        <v>110</v>
      </c>
      <c r="T4" s="8" t="s">
        <v>110</v>
      </c>
      <c r="U4" s="8" t="s">
        <v>110</v>
      </c>
      <c r="V4" s="8" t="s">
        <v>110</v>
      </c>
      <c r="W4" s="8" t="s">
        <v>110</v>
      </c>
      <c r="X4" s="8" t="s">
        <v>110</v>
      </c>
      <c r="Y4" s="8" t="s">
        <v>110</v>
      </c>
      <c r="Z4" s="8" t="s">
        <v>110</v>
      </c>
      <c r="AA4" s="8" t="s">
        <v>110</v>
      </c>
      <c r="AB4" s="8" t="s">
        <v>110</v>
      </c>
      <c r="AC4" s="8" t="s">
        <v>110</v>
      </c>
      <c r="AD4" s="8" t="s">
        <v>110</v>
      </c>
      <c r="AE4" s="8" t="s">
        <v>110</v>
      </c>
      <c r="AF4" s="8" t="s">
        <v>110</v>
      </c>
      <c r="AG4" s="8" t="s">
        <v>110</v>
      </c>
      <c r="AH4" s="8" t="s">
        <v>110</v>
      </c>
      <c r="AI4" s="8" t="s">
        <v>110</v>
      </c>
      <c r="AJ4" s="8" t="s">
        <v>110</v>
      </c>
      <c r="AK4" s="8" t="s">
        <v>110</v>
      </c>
      <c r="AL4" s="8" t="s">
        <v>110</v>
      </c>
      <c r="AM4" s="8" t="s">
        <v>110</v>
      </c>
    </row>
    <row r="5" spans="1:39" ht="27" x14ac:dyDescent="0.2">
      <c r="A5" s="7" t="s">
        <v>5</v>
      </c>
      <c r="B5" s="8" t="s">
        <v>110</v>
      </c>
      <c r="C5" s="8" t="s">
        <v>110</v>
      </c>
      <c r="D5" s="8" t="s">
        <v>110</v>
      </c>
      <c r="E5" s="8" t="s">
        <v>110</v>
      </c>
      <c r="F5" s="8" t="s">
        <v>110</v>
      </c>
      <c r="G5" s="8" t="s">
        <v>110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8" t="s">
        <v>110</v>
      </c>
      <c r="N5" s="8" t="s">
        <v>110</v>
      </c>
      <c r="O5" s="8" t="s">
        <v>110</v>
      </c>
      <c r="P5" s="8" t="s">
        <v>110</v>
      </c>
      <c r="Q5" s="8" t="s">
        <v>110</v>
      </c>
      <c r="R5" s="8" t="s">
        <v>110</v>
      </c>
      <c r="S5" s="8" t="s">
        <v>110</v>
      </c>
      <c r="T5" s="8" t="s">
        <v>110</v>
      </c>
      <c r="U5" s="8" t="s">
        <v>110</v>
      </c>
      <c r="V5" s="8" t="s">
        <v>110</v>
      </c>
      <c r="W5" s="8" t="s">
        <v>110</v>
      </c>
      <c r="X5" s="8" t="s">
        <v>110</v>
      </c>
      <c r="Y5" s="8" t="s">
        <v>110</v>
      </c>
      <c r="Z5" s="8" t="s">
        <v>110</v>
      </c>
      <c r="AA5" s="8" t="s">
        <v>110</v>
      </c>
      <c r="AB5" s="8" t="s">
        <v>110</v>
      </c>
      <c r="AC5" s="8" t="s">
        <v>110</v>
      </c>
      <c r="AD5" s="8" t="s">
        <v>110</v>
      </c>
      <c r="AE5" s="8" t="s">
        <v>110</v>
      </c>
      <c r="AF5" s="8" t="s">
        <v>110</v>
      </c>
      <c r="AG5" s="8" t="s">
        <v>110</v>
      </c>
      <c r="AH5" s="8" t="s">
        <v>110</v>
      </c>
      <c r="AI5" s="8" t="s">
        <v>110</v>
      </c>
      <c r="AJ5" s="8" t="s">
        <v>110</v>
      </c>
      <c r="AK5" s="8" t="s">
        <v>110</v>
      </c>
      <c r="AL5" s="8" t="s">
        <v>110</v>
      </c>
      <c r="AM5" s="8" t="s">
        <v>110</v>
      </c>
    </row>
    <row r="6" spans="1:39" ht="27" x14ac:dyDescent="0.2">
      <c r="A6" s="9" t="s">
        <v>110</v>
      </c>
      <c r="B6" s="8" t="s">
        <v>110</v>
      </c>
      <c r="C6" s="8" t="s">
        <v>110</v>
      </c>
      <c r="D6" s="8" t="s">
        <v>110</v>
      </c>
      <c r="E6" s="8" t="s">
        <v>110</v>
      </c>
      <c r="F6" s="8" t="s">
        <v>110</v>
      </c>
      <c r="G6" s="8" t="s">
        <v>110</v>
      </c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8" t="s">
        <v>110</v>
      </c>
      <c r="N6" s="8" t="s">
        <v>110</v>
      </c>
      <c r="O6" s="8" t="s">
        <v>110</v>
      </c>
      <c r="P6" s="8" t="s">
        <v>110</v>
      </c>
      <c r="Q6" s="8" t="s">
        <v>110</v>
      </c>
      <c r="R6" s="8" t="s">
        <v>110</v>
      </c>
      <c r="S6" s="8" t="s">
        <v>110</v>
      </c>
      <c r="T6" s="8" t="s">
        <v>110</v>
      </c>
      <c r="U6" s="8" t="s">
        <v>110</v>
      </c>
      <c r="V6" s="8" t="s">
        <v>110</v>
      </c>
      <c r="W6" s="8" t="s">
        <v>110</v>
      </c>
      <c r="X6" s="8" t="s">
        <v>110</v>
      </c>
      <c r="Y6" s="8" t="s">
        <v>110</v>
      </c>
      <c r="Z6" s="8" t="s">
        <v>110</v>
      </c>
      <c r="AA6" s="8" t="s">
        <v>110</v>
      </c>
      <c r="AB6" s="8" t="s">
        <v>110</v>
      </c>
      <c r="AC6" s="8" t="s">
        <v>110</v>
      </c>
      <c r="AD6" s="8" t="s">
        <v>110</v>
      </c>
      <c r="AE6" s="8" t="s">
        <v>110</v>
      </c>
      <c r="AF6" s="8" t="s">
        <v>110</v>
      </c>
      <c r="AG6" s="8" t="s">
        <v>110</v>
      </c>
      <c r="AH6" s="8" t="s">
        <v>110</v>
      </c>
      <c r="AI6" s="8" t="s">
        <v>110</v>
      </c>
      <c r="AJ6" s="8" t="s">
        <v>110</v>
      </c>
      <c r="AK6" s="8" t="s">
        <v>110</v>
      </c>
      <c r="AL6" s="8" t="s">
        <v>110</v>
      </c>
      <c r="AM6" s="8" t="s">
        <v>110</v>
      </c>
    </row>
    <row r="7" spans="1:39" ht="27" x14ac:dyDescent="0.2">
      <c r="A7" s="9" t="s">
        <v>110</v>
      </c>
      <c r="B7" s="8" t="s">
        <v>110</v>
      </c>
      <c r="C7" s="8" t="s">
        <v>110</v>
      </c>
      <c r="D7" s="8" t="s">
        <v>110</v>
      </c>
      <c r="E7" s="8" t="s">
        <v>110</v>
      </c>
      <c r="F7" s="8" t="s">
        <v>110</v>
      </c>
      <c r="G7" s="8" t="s">
        <v>110</v>
      </c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110</v>
      </c>
      <c r="N7" s="8" t="s">
        <v>110</v>
      </c>
      <c r="O7" s="8" t="s">
        <v>110</v>
      </c>
      <c r="P7" s="8" t="s">
        <v>110</v>
      </c>
      <c r="Q7" s="8" t="s">
        <v>110</v>
      </c>
      <c r="R7" s="8" t="s">
        <v>110</v>
      </c>
      <c r="S7" s="8" t="s">
        <v>110</v>
      </c>
      <c r="T7" s="8" t="s">
        <v>110</v>
      </c>
      <c r="U7" s="8" t="s">
        <v>110</v>
      </c>
      <c r="V7" s="8" t="s">
        <v>110</v>
      </c>
      <c r="W7" s="8" t="s">
        <v>110</v>
      </c>
      <c r="X7" s="8" t="s">
        <v>110</v>
      </c>
      <c r="Y7" s="8" t="s">
        <v>110</v>
      </c>
      <c r="Z7" s="8" t="s">
        <v>110</v>
      </c>
      <c r="AA7" s="8" t="s">
        <v>110</v>
      </c>
      <c r="AB7" s="8" t="s">
        <v>110</v>
      </c>
      <c r="AC7" s="8" t="s">
        <v>110</v>
      </c>
      <c r="AD7" s="8" t="s">
        <v>110</v>
      </c>
      <c r="AE7" s="8" t="s">
        <v>110</v>
      </c>
      <c r="AF7" s="8" t="s">
        <v>110</v>
      </c>
      <c r="AG7" s="8" t="s">
        <v>110</v>
      </c>
      <c r="AH7" s="8" t="s">
        <v>110</v>
      </c>
      <c r="AI7" s="8" t="s">
        <v>110</v>
      </c>
      <c r="AJ7" s="8" t="s">
        <v>110</v>
      </c>
      <c r="AK7" s="8" t="s">
        <v>110</v>
      </c>
      <c r="AL7" s="8" t="s">
        <v>110</v>
      </c>
      <c r="AM7" s="8" t="s">
        <v>110</v>
      </c>
    </row>
    <row r="8" spans="1:39" x14ac:dyDescent="0.2">
      <c r="A8" s="9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spans="1:39" x14ac:dyDescent="0.2">
      <c r="A9" s="7" t="s">
        <v>6</v>
      </c>
      <c r="B9" s="10" t="s">
        <v>7</v>
      </c>
      <c r="C9" s="10" t="s">
        <v>9</v>
      </c>
      <c r="D9" s="10" t="s">
        <v>8</v>
      </c>
      <c r="E9" s="10" t="s">
        <v>10</v>
      </c>
      <c r="F9" s="10" t="s">
        <v>11</v>
      </c>
      <c r="G9" s="10" t="s">
        <v>22</v>
      </c>
      <c r="H9" s="10" t="s">
        <v>23</v>
      </c>
      <c r="I9" s="10" t="s">
        <v>82</v>
      </c>
      <c r="J9" s="10" t="s">
        <v>12</v>
      </c>
      <c r="K9" s="10" t="s">
        <v>13</v>
      </c>
      <c r="L9" s="10" t="s">
        <v>14</v>
      </c>
      <c r="M9" s="10" t="s">
        <v>15</v>
      </c>
      <c r="N9" s="10" t="s">
        <v>16</v>
      </c>
      <c r="O9" s="10" t="s">
        <v>17</v>
      </c>
      <c r="P9" s="10" t="s">
        <v>18</v>
      </c>
      <c r="Q9" s="10" t="s">
        <v>19</v>
      </c>
      <c r="R9" s="10" t="s">
        <v>20</v>
      </c>
      <c r="S9" s="10" t="s">
        <v>21</v>
      </c>
      <c r="T9" s="10" t="s">
        <v>24</v>
      </c>
      <c r="U9" s="10" t="s">
        <v>25</v>
      </c>
      <c r="V9" s="10" t="s">
        <v>26</v>
      </c>
      <c r="W9" s="10" t="s">
        <v>27</v>
      </c>
      <c r="X9" s="10" t="s">
        <v>28</v>
      </c>
      <c r="Y9" s="10" t="s">
        <v>29</v>
      </c>
      <c r="Z9" s="10" t="s">
        <v>30</v>
      </c>
      <c r="AA9" s="10" t="s">
        <v>31</v>
      </c>
      <c r="AB9" s="10" t="s">
        <v>32</v>
      </c>
      <c r="AC9" s="10" t="s">
        <v>33</v>
      </c>
      <c r="AD9" s="10" t="s">
        <v>34</v>
      </c>
      <c r="AE9" s="10" t="s">
        <v>35</v>
      </c>
      <c r="AF9" s="10" t="s">
        <v>36</v>
      </c>
      <c r="AG9" s="10" t="s">
        <v>37</v>
      </c>
      <c r="AH9" s="10" t="s">
        <v>38</v>
      </c>
      <c r="AI9" s="10" t="s">
        <v>39</v>
      </c>
      <c r="AJ9" s="10" t="s">
        <v>40</v>
      </c>
      <c r="AK9" s="10" t="s">
        <v>41</v>
      </c>
      <c r="AL9" s="10" t="s">
        <v>42</v>
      </c>
      <c r="AM9" s="10" t="s">
        <v>43</v>
      </c>
    </row>
    <row r="10" spans="1:39" x14ac:dyDescent="0.2">
      <c r="A10" s="7">
        <v>0</v>
      </c>
      <c r="B10" s="10">
        <v>2.1</v>
      </c>
      <c r="C10" s="10" t="s">
        <v>45</v>
      </c>
      <c r="D10" s="10" t="s">
        <v>44</v>
      </c>
      <c r="E10" s="10">
        <v>85.055452865064694</v>
      </c>
      <c r="F10" s="10"/>
      <c r="G10" s="10">
        <v>84.756416972236806</v>
      </c>
      <c r="H10" s="10">
        <v>291</v>
      </c>
      <c r="I10" s="10" t="s">
        <v>83</v>
      </c>
      <c r="J10" s="10">
        <v>14.9445471349353</v>
      </c>
      <c r="K10" s="10">
        <v>68.802135944651198</v>
      </c>
      <c r="L10" s="10">
        <v>85.055452865064694</v>
      </c>
      <c r="M10" s="10">
        <v>82.218805725944506</v>
      </c>
      <c r="N10" s="10">
        <v>60.258947877883699</v>
      </c>
      <c r="O10" s="10">
        <v>85.055452865064694</v>
      </c>
      <c r="P10" s="10">
        <v>85.055452865064694</v>
      </c>
      <c r="Q10" s="10">
        <v>62.397934251995203</v>
      </c>
      <c r="R10" s="10">
        <v>85.055452865064694</v>
      </c>
      <c r="S10" s="10">
        <v>82.889244096604799</v>
      </c>
      <c r="T10" s="10">
        <v>15.243583027763201</v>
      </c>
      <c r="U10" s="10">
        <v>67.205844287906501</v>
      </c>
      <c r="V10" s="10">
        <v>84.756416972236806</v>
      </c>
      <c r="W10" s="10">
        <v>81.324211396297002</v>
      </c>
      <c r="X10" s="10">
        <v>58.065980498374898</v>
      </c>
      <c r="Y10" s="10">
        <v>84.756416972236806</v>
      </c>
      <c r="Z10" s="10">
        <v>84.756416972236806</v>
      </c>
      <c r="AA10" s="10">
        <v>59.810962442078797</v>
      </c>
      <c r="AB10" s="10">
        <v>84.756416972236806</v>
      </c>
      <c r="AC10" s="10">
        <v>82.052886993236896</v>
      </c>
      <c r="AD10" s="10">
        <v>35975.767893123397</v>
      </c>
      <c r="AE10" s="10">
        <v>19.8172</v>
      </c>
      <c r="AF10" s="10">
        <v>33573</v>
      </c>
      <c r="AG10" s="10">
        <v>25292</v>
      </c>
      <c r="AH10" s="10" t="s">
        <v>46</v>
      </c>
      <c r="AI10" s="10" t="s">
        <v>106</v>
      </c>
      <c r="AJ10" s="10" t="s">
        <v>47</v>
      </c>
      <c r="AK10" s="10" t="s">
        <v>48</v>
      </c>
      <c r="AL10" s="10" t="s">
        <v>49</v>
      </c>
      <c r="AM10" s="10" t="s">
        <v>50</v>
      </c>
    </row>
    <row r="11" spans="1:39" x14ac:dyDescent="0.2">
      <c r="A11" s="7">
        <v>0</v>
      </c>
      <c r="B11" s="10">
        <v>2.1</v>
      </c>
      <c r="C11" s="10" t="s">
        <v>51</v>
      </c>
      <c r="D11" s="10" t="s">
        <v>44</v>
      </c>
      <c r="E11" s="10">
        <v>85.378927911275397</v>
      </c>
      <c r="F11" s="10">
        <v>1582</v>
      </c>
      <c r="G11" s="10">
        <v>85.489785227867998</v>
      </c>
      <c r="H11" s="10">
        <v>277</v>
      </c>
      <c r="I11" s="10" t="s">
        <v>84</v>
      </c>
      <c r="J11" s="10">
        <v>14.621072088724601</v>
      </c>
      <c r="K11" s="10">
        <v>80.646143198610702</v>
      </c>
      <c r="L11" s="10">
        <v>85.378927911275397</v>
      </c>
      <c r="M11" s="10">
        <v>84.004722484615996</v>
      </c>
      <c r="N11" s="10">
        <v>51.2887434165565</v>
      </c>
      <c r="O11" s="10">
        <v>85.378927911275397</v>
      </c>
      <c r="P11" s="10">
        <v>85.378927911275397</v>
      </c>
      <c r="Q11" s="10">
        <v>48.673789126804003</v>
      </c>
      <c r="R11" s="10">
        <v>85.378927911275397</v>
      </c>
      <c r="S11" s="10">
        <v>79.145071553781605</v>
      </c>
      <c r="T11" s="10">
        <v>14.510214772132001</v>
      </c>
      <c r="U11" s="10">
        <v>81.235800064914002</v>
      </c>
      <c r="V11" s="10">
        <v>85.489785227867998</v>
      </c>
      <c r="W11" s="10">
        <v>84.265324283459606</v>
      </c>
      <c r="X11" s="10">
        <v>51.668255687974003</v>
      </c>
      <c r="Y11" s="10">
        <v>85.489785227867998</v>
      </c>
      <c r="Z11" s="10">
        <v>85.489785227867998</v>
      </c>
      <c r="AA11" s="10">
        <v>49.433461759505498</v>
      </c>
      <c r="AB11" s="10">
        <v>85.489785227867998</v>
      </c>
      <c r="AC11" s="10">
        <v>79.428207275060103</v>
      </c>
      <c r="AD11" s="10">
        <v>14209.152953258201</v>
      </c>
      <c r="AE11" s="10">
        <v>118.329491</v>
      </c>
      <c r="AF11" s="10">
        <v>650761</v>
      </c>
      <c r="AG11" s="10">
        <v>649616</v>
      </c>
      <c r="AH11" s="10" t="s">
        <v>53</v>
      </c>
      <c r="AI11" s="10" t="s">
        <v>106</v>
      </c>
      <c r="AJ11" s="10" t="s">
        <v>47</v>
      </c>
      <c r="AK11" s="10" t="s">
        <v>48</v>
      </c>
      <c r="AL11" s="10" t="s">
        <v>49</v>
      </c>
      <c r="AM11" s="10" t="s">
        <v>50</v>
      </c>
    </row>
    <row r="12" spans="1:39" x14ac:dyDescent="0.2">
      <c r="A12" s="7">
        <v>0</v>
      </c>
      <c r="B12" s="10">
        <v>2.11</v>
      </c>
      <c r="C12" s="10" t="s">
        <v>51</v>
      </c>
      <c r="D12" s="10" t="s">
        <v>44</v>
      </c>
      <c r="E12" s="10">
        <v>83.853974121996302</v>
      </c>
      <c r="F12" s="10">
        <v>1747</v>
      </c>
      <c r="G12" s="10">
        <v>84.337349397590401</v>
      </c>
      <c r="H12" s="10">
        <v>299</v>
      </c>
      <c r="I12" s="10" t="s">
        <v>85</v>
      </c>
      <c r="J12" s="10">
        <v>16.146025878003702</v>
      </c>
      <c r="K12" s="10">
        <v>64.744580113746295</v>
      </c>
      <c r="L12" s="10">
        <v>83.853974121996302</v>
      </c>
      <c r="M12" s="10">
        <v>80.664184948870997</v>
      </c>
      <c r="N12" s="10">
        <v>58.427198379659103</v>
      </c>
      <c r="O12" s="10">
        <v>83.853974121996302</v>
      </c>
      <c r="P12" s="10">
        <v>83.853974121996302</v>
      </c>
      <c r="Q12" s="10">
        <v>59.980184172697598</v>
      </c>
      <c r="R12" s="10">
        <v>83.853974121996302</v>
      </c>
      <c r="S12" s="10">
        <v>81.679993728144893</v>
      </c>
      <c r="T12" s="10">
        <v>15.662650602409601</v>
      </c>
      <c r="U12" s="10">
        <v>65.970448666194301</v>
      </c>
      <c r="V12" s="10">
        <v>84.337349397590401</v>
      </c>
      <c r="W12" s="10">
        <v>81.034677339467805</v>
      </c>
      <c r="X12" s="10">
        <v>58.400975081256803</v>
      </c>
      <c r="Y12" s="10">
        <v>84.337349397590401</v>
      </c>
      <c r="Z12" s="10">
        <v>84.337349397590401</v>
      </c>
      <c r="AA12" s="10">
        <v>60.088369156241697</v>
      </c>
      <c r="AB12" s="10">
        <v>84.337349397590401</v>
      </c>
      <c r="AC12" s="10">
        <v>81.941784817295797</v>
      </c>
      <c r="AD12" s="10">
        <v>11496.719928427099</v>
      </c>
      <c r="AE12" s="10">
        <v>154.69223400000001</v>
      </c>
      <c r="AF12" s="10">
        <v>683593</v>
      </c>
      <c r="AG12" s="10">
        <v>682448</v>
      </c>
      <c r="AH12" s="10" t="s">
        <v>54</v>
      </c>
      <c r="AI12" s="10" t="s">
        <v>106</v>
      </c>
      <c r="AJ12" s="10" t="s">
        <v>47</v>
      </c>
      <c r="AK12" s="10" t="s">
        <v>48</v>
      </c>
      <c r="AL12" s="10" t="s">
        <v>49</v>
      </c>
      <c r="AM12" s="10" t="s">
        <v>50</v>
      </c>
    </row>
    <row r="13" spans="1:39" x14ac:dyDescent="0.2">
      <c r="A13" s="7">
        <v>0</v>
      </c>
      <c r="B13" s="10">
        <v>2.12</v>
      </c>
      <c r="C13" s="10" t="s">
        <v>51</v>
      </c>
      <c r="D13" s="10" t="s">
        <v>44</v>
      </c>
      <c r="E13" s="10">
        <v>85.101663585951897</v>
      </c>
      <c r="F13" s="10">
        <v>1612</v>
      </c>
      <c r="G13" s="10">
        <v>85.123101100052395</v>
      </c>
      <c r="H13" s="10">
        <v>284</v>
      </c>
      <c r="I13" s="10" t="s">
        <v>86</v>
      </c>
      <c r="J13" s="10">
        <v>14.898336414048099</v>
      </c>
      <c r="K13" s="10" t="s">
        <v>52</v>
      </c>
      <c r="L13" s="10">
        <v>85.101663585951897</v>
      </c>
      <c r="M13" s="10" t="s">
        <v>52</v>
      </c>
      <c r="N13" s="10">
        <v>50</v>
      </c>
      <c r="O13" s="10">
        <v>85.101663585951897</v>
      </c>
      <c r="P13" s="10">
        <v>85.101663585951897</v>
      </c>
      <c r="Q13" s="10">
        <v>45.975634112242901</v>
      </c>
      <c r="R13" s="10">
        <v>85.101663585951897</v>
      </c>
      <c r="S13" s="10">
        <v>78.252058947418206</v>
      </c>
      <c r="T13" s="10">
        <v>14.8768988999476</v>
      </c>
      <c r="U13" s="10" t="s">
        <v>52</v>
      </c>
      <c r="V13" s="10">
        <v>85.123101100052395</v>
      </c>
      <c r="W13" s="10" t="s">
        <v>52</v>
      </c>
      <c r="X13" s="10">
        <v>50</v>
      </c>
      <c r="Y13" s="10">
        <v>85.123101100052395</v>
      </c>
      <c r="Z13" s="10">
        <v>85.123101100052395</v>
      </c>
      <c r="AA13" s="10">
        <v>45.9818902093945</v>
      </c>
      <c r="AB13" s="10">
        <v>85.123101100052395</v>
      </c>
      <c r="AC13" s="10">
        <v>78.282421781315904</v>
      </c>
      <c r="AD13" s="10">
        <v>2856.0033216216102</v>
      </c>
      <c r="AE13" s="10">
        <v>62.412788999999997</v>
      </c>
      <c r="AF13" s="10">
        <v>2084805</v>
      </c>
      <c r="AG13" s="10">
        <v>2083664</v>
      </c>
      <c r="AH13" s="10" t="s">
        <v>107</v>
      </c>
      <c r="AI13" s="10" t="s">
        <v>106</v>
      </c>
      <c r="AJ13" s="10" t="s">
        <v>47</v>
      </c>
      <c r="AK13" s="10" t="s">
        <v>48</v>
      </c>
      <c r="AL13" s="10" t="s">
        <v>49</v>
      </c>
      <c r="AM13" s="10" t="s">
        <v>50</v>
      </c>
    </row>
    <row r="14" spans="1:39" x14ac:dyDescent="0.2">
      <c r="A14" s="7">
        <v>0</v>
      </c>
      <c r="B14" s="10">
        <v>2.13</v>
      </c>
      <c r="C14" s="10" t="s">
        <v>51</v>
      </c>
      <c r="D14" s="10" t="s">
        <v>44</v>
      </c>
      <c r="E14" s="10">
        <v>85.434380776340106</v>
      </c>
      <c r="F14" s="10">
        <v>1576</v>
      </c>
      <c r="G14" s="10">
        <v>85.332634887375605</v>
      </c>
      <c r="H14" s="10">
        <v>280</v>
      </c>
      <c r="I14" s="10" t="s">
        <v>87</v>
      </c>
      <c r="J14" s="10">
        <v>14.565619223659899</v>
      </c>
      <c r="K14" s="10">
        <v>75.212158546564595</v>
      </c>
      <c r="L14" s="10">
        <v>85.434380776340106</v>
      </c>
      <c r="M14" s="10">
        <v>82.554064754712698</v>
      </c>
      <c r="N14" s="10">
        <v>52.216879593319398</v>
      </c>
      <c r="O14" s="10">
        <v>85.434380776340106</v>
      </c>
      <c r="P14" s="10">
        <v>85.434380776340106</v>
      </c>
      <c r="Q14" s="10">
        <v>50.597334577473802</v>
      </c>
      <c r="R14" s="10">
        <v>85.434380776340106</v>
      </c>
      <c r="S14" s="10">
        <v>79.721503950860196</v>
      </c>
      <c r="T14" s="10">
        <v>14.667365112624401</v>
      </c>
      <c r="U14" s="10">
        <v>71.703296703296701</v>
      </c>
      <c r="V14" s="10">
        <v>85.332634887375605</v>
      </c>
      <c r="W14" s="10">
        <v>81.545484374190494</v>
      </c>
      <c r="X14" s="10">
        <v>52.302383531960999</v>
      </c>
      <c r="Y14" s="10">
        <v>85.332634887375605</v>
      </c>
      <c r="Z14" s="10">
        <v>85.332634887375605</v>
      </c>
      <c r="AA14" s="10">
        <v>50.847831684260903</v>
      </c>
      <c r="AB14" s="10">
        <v>85.332634887375605</v>
      </c>
      <c r="AC14" s="10">
        <v>79.768482775803605</v>
      </c>
      <c r="AD14" s="10">
        <v>6823.2912605746797</v>
      </c>
      <c r="AE14" s="10">
        <v>46.163563000000003</v>
      </c>
      <c r="AF14" s="10">
        <v>822021</v>
      </c>
      <c r="AG14" s="10">
        <v>820880</v>
      </c>
      <c r="AH14" s="10" t="s">
        <v>108</v>
      </c>
      <c r="AI14" s="10" t="s">
        <v>106</v>
      </c>
      <c r="AJ14" s="10" t="s">
        <v>47</v>
      </c>
      <c r="AK14" s="10" t="s">
        <v>48</v>
      </c>
      <c r="AL14" s="10" t="s">
        <v>49</v>
      </c>
      <c r="AM14" s="10" t="s">
        <v>50</v>
      </c>
    </row>
    <row r="15" spans="1:39" x14ac:dyDescent="0.2">
      <c r="A15" s="7">
        <v>0</v>
      </c>
      <c r="B15" s="10">
        <v>2.14</v>
      </c>
      <c r="C15" s="10" t="s">
        <v>51</v>
      </c>
      <c r="D15" s="10" t="s">
        <v>44</v>
      </c>
      <c r="E15" s="10">
        <v>85.101663585951897</v>
      </c>
      <c r="F15" s="10">
        <v>1612</v>
      </c>
      <c r="G15" s="10">
        <v>85.123101100052395</v>
      </c>
      <c r="H15" s="10">
        <v>284</v>
      </c>
      <c r="I15" s="10" t="s">
        <v>88</v>
      </c>
      <c r="J15" s="10">
        <v>14.898336414048099</v>
      </c>
      <c r="K15" s="10" t="s">
        <v>52</v>
      </c>
      <c r="L15" s="10">
        <v>85.101663585951897</v>
      </c>
      <c r="M15" s="10" t="s">
        <v>52</v>
      </c>
      <c r="N15" s="10">
        <v>50</v>
      </c>
      <c r="O15" s="10">
        <v>85.101663585951897</v>
      </c>
      <c r="P15" s="10">
        <v>85.101663585951897</v>
      </c>
      <c r="Q15" s="10">
        <v>45.975634112242901</v>
      </c>
      <c r="R15" s="10">
        <v>85.101663585951897</v>
      </c>
      <c r="S15" s="10">
        <v>78.252058947418206</v>
      </c>
      <c r="T15" s="10">
        <v>14.8768988999476</v>
      </c>
      <c r="U15" s="10" t="s">
        <v>52</v>
      </c>
      <c r="V15" s="10">
        <v>85.123101100052395</v>
      </c>
      <c r="W15" s="10" t="s">
        <v>52</v>
      </c>
      <c r="X15" s="10">
        <v>50</v>
      </c>
      <c r="Y15" s="10">
        <v>85.123101100052395</v>
      </c>
      <c r="Z15" s="10">
        <v>85.123101100052395</v>
      </c>
      <c r="AA15" s="10">
        <v>45.9818902093945</v>
      </c>
      <c r="AB15" s="10">
        <v>85.123101100052395</v>
      </c>
      <c r="AC15" s="10">
        <v>78.282421781315904</v>
      </c>
      <c r="AD15" s="10">
        <v>12833.529434091201</v>
      </c>
      <c r="AE15" s="10">
        <v>44.796357</v>
      </c>
      <c r="AF15" s="10">
        <v>696261</v>
      </c>
      <c r="AG15" s="10">
        <v>695120</v>
      </c>
      <c r="AH15" s="10" t="s">
        <v>109</v>
      </c>
      <c r="AI15" s="10" t="s">
        <v>106</v>
      </c>
      <c r="AJ15" s="10" t="s">
        <v>47</v>
      </c>
      <c r="AK15" s="10" t="s">
        <v>48</v>
      </c>
      <c r="AL15" s="10" t="s">
        <v>49</v>
      </c>
      <c r="AM15" s="10" t="s">
        <v>50</v>
      </c>
    </row>
    <row r="16" spans="1:39" x14ac:dyDescent="0.2">
      <c r="A16" s="7">
        <v>0</v>
      </c>
      <c r="B16" s="10">
        <v>2.15</v>
      </c>
      <c r="C16" s="10" t="s">
        <v>58</v>
      </c>
      <c r="D16" s="10" t="s">
        <v>44</v>
      </c>
      <c r="E16" s="10">
        <v>86.386321626617402</v>
      </c>
      <c r="F16" s="10">
        <v>1473</v>
      </c>
      <c r="G16" s="10">
        <v>85.961236249345205</v>
      </c>
      <c r="H16" s="10">
        <v>268</v>
      </c>
      <c r="I16" s="10" t="s">
        <v>89</v>
      </c>
      <c r="J16" s="10">
        <v>13.6136783733826</v>
      </c>
      <c r="K16" s="10">
        <v>75.724393829800505</v>
      </c>
      <c r="L16" s="10">
        <v>86.386321626617402</v>
      </c>
      <c r="M16" s="10">
        <v>83.966608723411397</v>
      </c>
      <c r="N16" s="10">
        <v>58.891542687015097</v>
      </c>
      <c r="O16" s="10">
        <v>86.386321626617402</v>
      </c>
      <c r="P16" s="10">
        <v>86.386321626617402</v>
      </c>
      <c r="Q16" s="10">
        <v>61.307307862985901</v>
      </c>
      <c r="R16" s="10">
        <v>86.386321626617402</v>
      </c>
      <c r="S16" s="10">
        <v>83.176230896913694</v>
      </c>
      <c r="T16" s="10">
        <v>14.0387637506548</v>
      </c>
      <c r="U16" s="10">
        <v>72.753454947484798</v>
      </c>
      <c r="V16" s="10">
        <v>85.961236249345205</v>
      </c>
      <c r="W16" s="10">
        <v>83.117196741396299</v>
      </c>
      <c r="X16" s="10">
        <v>58.918959913326098</v>
      </c>
      <c r="Y16" s="10">
        <v>85.961236249345205</v>
      </c>
      <c r="Z16" s="10">
        <v>85.961236249345205</v>
      </c>
      <c r="AA16" s="10">
        <v>61.202011745292197</v>
      </c>
      <c r="AB16" s="10">
        <v>85.961236249345205</v>
      </c>
      <c r="AC16" s="10">
        <v>82.973893751806997</v>
      </c>
      <c r="AD16" s="10">
        <v>12825.831841727801</v>
      </c>
      <c r="AE16" s="10">
        <v>42.727986000000001</v>
      </c>
      <c r="AF16" s="10">
        <v>359110</v>
      </c>
      <c r="AG16" s="10">
        <v>170263</v>
      </c>
      <c r="AH16" s="10" t="s">
        <v>59</v>
      </c>
      <c r="AI16" s="10" t="s">
        <v>106</v>
      </c>
      <c r="AJ16" s="10" t="s">
        <v>47</v>
      </c>
      <c r="AK16" s="10" t="s">
        <v>48</v>
      </c>
      <c r="AL16" s="10" t="s">
        <v>49</v>
      </c>
      <c r="AM16" s="10" t="s">
        <v>50</v>
      </c>
    </row>
    <row r="17" spans="1:39" x14ac:dyDescent="0.2">
      <c r="A17" s="7">
        <v>0</v>
      </c>
      <c r="B17" s="10">
        <v>2.16</v>
      </c>
      <c r="C17" s="10" t="s">
        <v>58</v>
      </c>
      <c r="D17" s="10" t="s">
        <v>44</v>
      </c>
      <c r="E17" s="10">
        <v>85.665434380776304</v>
      </c>
      <c r="F17" s="10">
        <v>1551</v>
      </c>
      <c r="G17" s="10">
        <v>85.961236249345205</v>
      </c>
      <c r="H17" s="10">
        <v>268</v>
      </c>
      <c r="I17" s="10" t="s">
        <v>90</v>
      </c>
      <c r="J17" s="10">
        <v>14.334565619223699</v>
      </c>
      <c r="K17" s="10">
        <v>71.192522212429296</v>
      </c>
      <c r="L17" s="10">
        <v>85.665434380776304</v>
      </c>
      <c r="M17" s="10">
        <v>82.708994120114596</v>
      </c>
      <c r="N17" s="10">
        <v>59.261204519535298</v>
      </c>
      <c r="O17" s="10">
        <v>85.665434380776304</v>
      </c>
      <c r="P17" s="10">
        <v>85.665434380776304</v>
      </c>
      <c r="Q17" s="10">
        <v>61.518729987982901</v>
      </c>
      <c r="R17" s="10">
        <v>85.665434380776304</v>
      </c>
      <c r="S17" s="10">
        <v>82.918609414847793</v>
      </c>
      <c r="T17" s="10">
        <v>14.0387637506548</v>
      </c>
      <c r="U17" s="10">
        <v>72.369078985326098</v>
      </c>
      <c r="V17" s="10">
        <v>85.961236249345205</v>
      </c>
      <c r="W17" s="10">
        <v>83.237941770686604</v>
      </c>
      <c r="X17" s="10">
        <v>60.081256771397598</v>
      </c>
      <c r="Y17" s="10">
        <v>85.961236249345205</v>
      </c>
      <c r="Z17" s="10">
        <v>85.961236249345205</v>
      </c>
      <c r="AA17" s="10">
        <v>62.579578700994702</v>
      </c>
      <c r="AB17" s="10">
        <v>85.961236249345205</v>
      </c>
      <c r="AC17" s="10">
        <v>83.358109365234597</v>
      </c>
      <c r="AD17" s="10">
        <v>7421.5269551642396</v>
      </c>
      <c r="AE17" s="10">
        <v>58.608246000000001</v>
      </c>
      <c r="AF17" s="10">
        <v>5945086</v>
      </c>
      <c r="AG17" s="10">
        <v>4349519</v>
      </c>
      <c r="AH17" s="10" t="s">
        <v>60</v>
      </c>
      <c r="AI17" s="10" t="s">
        <v>106</v>
      </c>
      <c r="AJ17" s="10" t="s">
        <v>47</v>
      </c>
      <c r="AK17" s="10" t="s">
        <v>48</v>
      </c>
      <c r="AL17" s="10" t="s">
        <v>49</v>
      </c>
      <c r="AM17" s="10" t="s">
        <v>50</v>
      </c>
    </row>
    <row r="18" spans="1:39" x14ac:dyDescent="0.2">
      <c r="A18" s="7">
        <v>0</v>
      </c>
      <c r="B18" s="10">
        <v>2.17</v>
      </c>
      <c r="C18" s="10" t="s">
        <v>58</v>
      </c>
      <c r="D18" s="10" t="s">
        <v>44</v>
      </c>
      <c r="E18" s="10">
        <v>71.940850277264303</v>
      </c>
      <c r="F18" s="10">
        <v>3036</v>
      </c>
      <c r="G18" s="10">
        <v>70.141435306443199</v>
      </c>
      <c r="H18" s="10">
        <v>570</v>
      </c>
      <c r="I18" s="10" t="s">
        <v>91</v>
      </c>
      <c r="J18" s="10">
        <v>28.0591497227357</v>
      </c>
      <c r="K18" s="10">
        <v>63.280686187518498</v>
      </c>
      <c r="L18" s="10">
        <v>71.940850277264303</v>
      </c>
      <c r="M18" s="10">
        <v>85.355386330374003</v>
      </c>
      <c r="N18" s="10">
        <v>74.200554917182799</v>
      </c>
      <c r="O18" s="10">
        <v>71.940850277264303</v>
      </c>
      <c r="P18" s="10">
        <v>71.940850277264303</v>
      </c>
      <c r="Q18" s="10">
        <v>63.135764177485299</v>
      </c>
      <c r="R18" s="10">
        <v>71.940850277264303</v>
      </c>
      <c r="S18" s="10">
        <v>75.783917357122505</v>
      </c>
      <c r="T18" s="10">
        <v>29.858564693556801</v>
      </c>
      <c r="U18" s="10">
        <v>62.899856657341701</v>
      </c>
      <c r="V18" s="10">
        <v>70.141435306443199</v>
      </c>
      <c r="W18" s="10">
        <v>85.536119987050498</v>
      </c>
      <c r="X18" s="10">
        <v>74.180173347779004</v>
      </c>
      <c r="Y18" s="10">
        <v>70.141435306443199</v>
      </c>
      <c r="Z18" s="10">
        <v>70.141435306443199</v>
      </c>
      <c r="AA18" s="10">
        <v>61.967539258231902</v>
      </c>
      <c r="AB18" s="10">
        <v>70.141435306443199</v>
      </c>
      <c r="AC18" s="10">
        <v>74.353069880436706</v>
      </c>
      <c r="AD18" s="10">
        <v>23377.762605518601</v>
      </c>
      <c r="AE18" s="10">
        <v>37.285305999999999</v>
      </c>
      <c r="AF18" s="10">
        <v>336154</v>
      </c>
      <c r="AG18" s="10">
        <v>145019</v>
      </c>
      <c r="AH18" s="10" t="s">
        <v>61</v>
      </c>
      <c r="AI18" s="10" t="s">
        <v>106</v>
      </c>
      <c r="AJ18" s="10" t="s">
        <v>47</v>
      </c>
      <c r="AK18" s="10" t="s">
        <v>48</v>
      </c>
      <c r="AL18" s="10" t="s">
        <v>49</v>
      </c>
      <c r="AM18" s="10" t="s">
        <v>50</v>
      </c>
    </row>
    <row r="19" spans="1:39" x14ac:dyDescent="0.2">
      <c r="A19" s="7">
        <v>0</v>
      </c>
      <c r="B19" s="10">
        <v>2.1800000000000002</v>
      </c>
      <c r="C19" s="10" t="s">
        <v>62</v>
      </c>
      <c r="D19" s="10" t="s">
        <v>44</v>
      </c>
      <c r="E19" s="10">
        <v>85.175600739371504</v>
      </c>
      <c r="F19" s="10">
        <v>1604</v>
      </c>
      <c r="G19" s="10">
        <v>85.385018334206407</v>
      </c>
      <c r="H19" s="10">
        <v>279</v>
      </c>
      <c r="I19" s="10" t="s">
        <v>92</v>
      </c>
      <c r="J19" s="10">
        <v>14.8243992606285</v>
      </c>
      <c r="K19" s="10">
        <v>69.010898819070306</v>
      </c>
      <c r="L19" s="10">
        <v>85.175600739371504</v>
      </c>
      <c r="M19" s="10">
        <v>81.930414369008005</v>
      </c>
      <c r="N19" s="10">
        <v>58.564014353685302</v>
      </c>
      <c r="O19" s="10">
        <v>85.175600739371504</v>
      </c>
      <c r="P19" s="10">
        <v>85.175600739371504</v>
      </c>
      <c r="Q19" s="10">
        <v>60.529180189174902</v>
      </c>
      <c r="R19" s="10">
        <v>85.175600739371504</v>
      </c>
      <c r="S19" s="10">
        <v>82.425579077981197</v>
      </c>
      <c r="T19" s="10">
        <v>14.6149816657936</v>
      </c>
      <c r="U19" s="10">
        <v>69.849302849631499</v>
      </c>
      <c r="V19" s="10">
        <v>85.385018334206407</v>
      </c>
      <c r="W19" s="10">
        <v>82.316923714272406</v>
      </c>
      <c r="X19" s="10">
        <v>59.161646803900297</v>
      </c>
      <c r="Y19" s="10">
        <v>85.385018334206407</v>
      </c>
      <c r="Z19" s="10">
        <v>85.385018334206407</v>
      </c>
      <c r="AA19" s="10">
        <v>61.299695911701797</v>
      </c>
      <c r="AB19" s="10">
        <v>85.385018334206407</v>
      </c>
      <c r="AC19" s="10">
        <v>82.746188188314406</v>
      </c>
      <c r="AD19" s="10">
        <v>201892.03813930901</v>
      </c>
      <c r="AE19" s="10">
        <v>68.595748999999998</v>
      </c>
      <c r="AF19" s="10">
        <v>10530</v>
      </c>
      <c r="AG19" s="10">
        <v>8924</v>
      </c>
      <c r="AH19" s="10" t="s">
        <v>63</v>
      </c>
      <c r="AI19" s="10" t="s">
        <v>106</v>
      </c>
      <c r="AJ19" s="10" t="s">
        <v>47</v>
      </c>
      <c r="AK19" s="10" t="s">
        <v>48</v>
      </c>
      <c r="AL19" s="10" t="s">
        <v>49</v>
      </c>
      <c r="AM19" s="10" t="s">
        <v>50</v>
      </c>
    </row>
    <row r="20" spans="1:39" x14ac:dyDescent="0.2">
      <c r="A20" s="7">
        <v>0</v>
      </c>
      <c r="B20" s="10">
        <v>2.19</v>
      </c>
      <c r="C20" s="10" t="s">
        <v>62</v>
      </c>
      <c r="D20" s="10" t="s">
        <v>44</v>
      </c>
      <c r="E20" s="10">
        <v>83.290203327171895</v>
      </c>
      <c r="F20" s="10">
        <v>1808</v>
      </c>
      <c r="G20" s="10">
        <v>84.494499738082794</v>
      </c>
      <c r="H20" s="10">
        <v>296</v>
      </c>
      <c r="I20" s="10" t="s">
        <v>93</v>
      </c>
      <c r="J20" s="10">
        <v>16.709796672828102</v>
      </c>
      <c r="K20" s="10">
        <v>64.419762908986996</v>
      </c>
      <c r="L20" s="10">
        <v>83.290203327171895</v>
      </c>
      <c r="M20" s="10">
        <v>80.948806430266103</v>
      </c>
      <c r="N20" s="10">
        <v>60.168536691581203</v>
      </c>
      <c r="O20" s="10">
        <v>83.290203327171895</v>
      </c>
      <c r="P20" s="10">
        <v>83.290203327171895</v>
      </c>
      <c r="Q20" s="10">
        <v>61.574564150334297</v>
      </c>
      <c r="R20" s="10">
        <v>83.290203327171895</v>
      </c>
      <c r="S20" s="10">
        <v>81.853884925753306</v>
      </c>
      <c r="T20" s="10">
        <v>15.5055002619172</v>
      </c>
      <c r="U20" s="10">
        <v>67.709891577138507</v>
      </c>
      <c r="V20" s="10">
        <v>84.494499738082794</v>
      </c>
      <c r="W20" s="10">
        <v>82.392317894050606</v>
      </c>
      <c r="X20" s="10">
        <v>62.416034669555799</v>
      </c>
      <c r="Y20" s="10">
        <v>84.494499738082794</v>
      </c>
      <c r="Z20" s="10">
        <v>84.494499738082794</v>
      </c>
      <c r="AA20" s="10">
        <v>64.220875925719596</v>
      </c>
      <c r="AB20" s="10">
        <v>84.494499738082794</v>
      </c>
      <c r="AC20" s="10">
        <v>83.140103157716098</v>
      </c>
      <c r="AD20" s="10">
        <v>102945.653828589</v>
      </c>
      <c r="AE20" s="10">
        <v>69.505664999999993</v>
      </c>
      <c r="AF20" s="10">
        <v>13530</v>
      </c>
      <c r="AG20" s="10">
        <v>11924</v>
      </c>
      <c r="AH20" s="10" t="s">
        <v>64</v>
      </c>
      <c r="AI20" s="10" t="s">
        <v>106</v>
      </c>
      <c r="AJ20" s="10" t="s">
        <v>47</v>
      </c>
      <c r="AK20" s="10" t="s">
        <v>48</v>
      </c>
      <c r="AL20" s="10" t="s">
        <v>49</v>
      </c>
      <c r="AM20" s="10" t="s">
        <v>50</v>
      </c>
    </row>
    <row r="21" spans="1:39" x14ac:dyDescent="0.2">
      <c r="A21" s="7">
        <v>0</v>
      </c>
      <c r="B21" s="10">
        <v>2.2000000000000002</v>
      </c>
      <c r="C21" s="10" t="s">
        <v>45</v>
      </c>
      <c r="D21" s="10" t="s">
        <v>44</v>
      </c>
      <c r="E21" s="10">
        <v>85.434380776340106</v>
      </c>
      <c r="F21" s="10">
        <v>1576</v>
      </c>
      <c r="G21" s="10">
        <v>85.280251440544802</v>
      </c>
      <c r="H21" s="10">
        <v>281</v>
      </c>
      <c r="I21" s="10" t="s">
        <v>94</v>
      </c>
      <c r="J21" s="10">
        <v>14.565619223659899</v>
      </c>
      <c r="K21" s="10">
        <v>70.373510156118897</v>
      </c>
      <c r="L21" s="10">
        <v>85.434380776340106</v>
      </c>
      <c r="M21" s="10">
        <v>81.929305431997705</v>
      </c>
      <c r="N21" s="10">
        <v>56.541134799171303</v>
      </c>
      <c r="O21" s="10">
        <v>85.434380776340106</v>
      </c>
      <c r="P21" s="10">
        <v>85.434380776340106</v>
      </c>
      <c r="Q21" s="10">
        <v>57.942129140003203</v>
      </c>
      <c r="R21" s="10">
        <v>85.434380776340106</v>
      </c>
      <c r="S21" s="10">
        <v>81.8140019600324</v>
      </c>
      <c r="T21" s="10">
        <v>14.7197485594552</v>
      </c>
      <c r="U21" s="10">
        <v>69.306669908420403</v>
      </c>
      <c r="V21" s="10">
        <v>85.280251440544802</v>
      </c>
      <c r="W21" s="10">
        <v>81.568016694098006</v>
      </c>
      <c r="X21" s="10">
        <v>56.194366197183101</v>
      </c>
      <c r="Y21" s="10">
        <v>85.280251440544802</v>
      </c>
      <c r="Z21" s="10">
        <v>85.280251440544802</v>
      </c>
      <c r="AA21" s="10">
        <v>57.437923743102097</v>
      </c>
      <c r="AB21" s="10">
        <v>85.280251440544802</v>
      </c>
      <c r="AC21" s="10">
        <v>81.619634521774799</v>
      </c>
      <c r="AD21" s="10">
        <v>46777.659128344603</v>
      </c>
      <c r="AE21" s="10">
        <v>10.82558</v>
      </c>
      <c r="AF21" s="10">
        <v>11273</v>
      </c>
      <c r="AG21" s="10">
        <v>7480</v>
      </c>
      <c r="AH21" s="10" t="s">
        <v>65</v>
      </c>
      <c r="AI21" s="10" t="s">
        <v>106</v>
      </c>
      <c r="AJ21" s="10" t="s">
        <v>47</v>
      </c>
      <c r="AK21" s="10" t="s">
        <v>48</v>
      </c>
      <c r="AL21" s="10" t="s">
        <v>49</v>
      </c>
      <c r="AM21" s="10" t="s">
        <v>50</v>
      </c>
    </row>
    <row r="22" spans="1:39" x14ac:dyDescent="0.2">
      <c r="A22" s="7">
        <v>0</v>
      </c>
      <c r="B22" s="10">
        <v>2.2000000000000002</v>
      </c>
      <c r="C22" s="10" t="s">
        <v>62</v>
      </c>
      <c r="D22" s="10" t="s">
        <v>44</v>
      </c>
      <c r="E22" s="10">
        <v>78.780036968576695</v>
      </c>
      <c r="F22" s="10">
        <v>2296</v>
      </c>
      <c r="G22" s="10">
        <v>79.151388161341004</v>
      </c>
      <c r="H22" s="10">
        <v>398</v>
      </c>
      <c r="I22" s="10" t="s">
        <v>95</v>
      </c>
      <c r="J22" s="10">
        <v>21.219963031423301</v>
      </c>
      <c r="K22" s="10">
        <v>59.417758231475098</v>
      </c>
      <c r="L22" s="10">
        <v>78.780036968576695</v>
      </c>
      <c r="M22" s="10">
        <v>79.609393224202194</v>
      </c>
      <c r="N22" s="10">
        <v>60.154159830808503</v>
      </c>
      <c r="O22" s="10">
        <v>78.780036968576695</v>
      </c>
      <c r="P22" s="10">
        <v>78.780036968576695</v>
      </c>
      <c r="Q22" s="10">
        <v>59.748536912577698</v>
      </c>
      <c r="R22" s="10">
        <v>78.780036968576695</v>
      </c>
      <c r="S22" s="10">
        <v>79.179084550395999</v>
      </c>
      <c r="T22" s="10">
        <v>20.848611838659</v>
      </c>
      <c r="U22" s="10">
        <v>60.3983440843298</v>
      </c>
      <c r="V22" s="10">
        <v>79.151388161341004</v>
      </c>
      <c r="W22" s="10">
        <v>80.215390662164396</v>
      </c>
      <c r="X22" s="10">
        <v>61.456879739978298</v>
      </c>
      <c r="Y22" s="10">
        <v>79.151388161341004</v>
      </c>
      <c r="Z22" s="10">
        <v>79.151388161341004</v>
      </c>
      <c r="AA22" s="10">
        <v>60.861318651429798</v>
      </c>
      <c r="AB22" s="10">
        <v>79.151388161341004</v>
      </c>
      <c r="AC22" s="10">
        <v>79.655941802993695</v>
      </c>
      <c r="AD22" s="10">
        <v>200318.43596104701</v>
      </c>
      <c r="AE22" s="10">
        <v>116.20903300000001</v>
      </c>
      <c r="AF22" s="10">
        <v>28530</v>
      </c>
      <c r="AG22" s="10">
        <v>26924</v>
      </c>
      <c r="AH22" s="10" t="s">
        <v>66</v>
      </c>
      <c r="AI22" s="10" t="s">
        <v>106</v>
      </c>
      <c r="AJ22" s="10" t="s">
        <v>47</v>
      </c>
      <c r="AK22" s="10" t="s">
        <v>48</v>
      </c>
      <c r="AL22" s="10" t="s">
        <v>49</v>
      </c>
      <c r="AM22" s="10" t="s">
        <v>50</v>
      </c>
    </row>
    <row r="23" spans="1:39" x14ac:dyDescent="0.2">
      <c r="A23" s="7">
        <v>0</v>
      </c>
      <c r="B23" s="10">
        <v>2.21</v>
      </c>
      <c r="C23" s="10" t="s">
        <v>62</v>
      </c>
      <c r="D23" s="10" t="s">
        <v>44</v>
      </c>
      <c r="E23" s="10">
        <v>84.426987060998101</v>
      </c>
      <c r="F23" s="10">
        <v>1685</v>
      </c>
      <c r="G23" s="10">
        <v>84.599266631744399</v>
      </c>
      <c r="H23" s="10">
        <v>294</v>
      </c>
      <c r="I23" s="10" t="s">
        <v>96</v>
      </c>
      <c r="J23" s="10">
        <v>15.573012939001901</v>
      </c>
      <c r="K23" s="10">
        <v>66.426706734358604</v>
      </c>
      <c r="L23" s="10">
        <v>84.426987060998101</v>
      </c>
      <c r="M23" s="10">
        <v>81.214737164939805</v>
      </c>
      <c r="N23" s="10">
        <v>58.738274841382903</v>
      </c>
      <c r="O23" s="10">
        <v>84.426987060998101</v>
      </c>
      <c r="P23" s="10">
        <v>84.426987060998101</v>
      </c>
      <c r="Q23" s="10">
        <v>60.502529952939597</v>
      </c>
      <c r="R23" s="10">
        <v>84.426987060998101</v>
      </c>
      <c r="S23" s="10">
        <v>82.083123254544205</v>
      </c>
      <c r="T23" s="10">
        <v>15.400733368255599</v>
      </c>
      <c r="U23" s="10">
        <v>66.929390199396195</v>
      </c>
      <c r="V23" s="10">
        <v>84.599266631744399</v>
      </c>
      <c r="W23" s="10">
        <v>81.404224833347897</v>
      </c>
      <c r="X23" s="10">
        <v>58.845395449620803</v>
      </c>
      <c r="Y23" s="10">
        <v>84.599266631744399</v>
      </c>
      <c r="Z23" s="10">
        <v>84.599266631744399</v>
      </c>
      <c r="AA23" s="10">
        <v>60.673925838728699</v>
      </c>
      <c r="AB23" s="10">
        <v>84.599266631744399</v>
      </c>
      <c r="AC23" s="10">
        <v>82.221193806112197</v>
      </c>
      <c r="AD23" s="10">
        <v>117940.724430734</v>
      </c>
      <c r="AE23" s="10">
        <v>71.140653999999998</v>
      </c>
      <c r="AF23" s="10">
        <v>12302</v>
      </c>
      <c r="AG23" s="10">
        <v>10172</v>
      </c>
      <c r="AH23" s="10" t="s">
        <v>67</v>
      </c>
      <c r="AI23" s="10" t="s">
        <v>106</v>
      </c>
      <c r="AJ23" s="10" t="s">
        <v>47</v>
      </c>
      <c r="AK23" s="10" t="s">
        <v>48</v>
      </c>
      <c r="AL23" s="10" t="s">
        <v>49</v>
      </c>
      <c r="AM23" s="10" t="s">
        <v>50</v>
      </c>
    </row>
    <row r="24" spans="1:39" x14ac:dyDescent="0.2">
      <c r="A24" s="7">
        <v>0</v>
      </c>
      <c r="B24" s="10">
        <v>2.2200000000000002</v>
      </c>
      <c r="C24" s="10" t="s">
        <v>62</v>
      </c>
      <c r="D24" s="10" t="s">
        <v>44</v>
      </c>
      <c r="E24" s="10">
        <v>83.548983364140497</v>
      </c>
      <c r="F24" s="10">
        <v>1780</v>
      </c>
      <c r="G24" s="10">
        <v>84.180199057097994</v>
      </c>
      <c r="H24" s="10">
        <v>302</v>
      </c>
      <c r="I24" s="10" t="s">
        <v>97</v>
      </c>
      <c r="J24" s="10">
        <v>16.451016635859499</v>
      </c>
      <c r="K24" s="10">
        <v>63.923947522257002</v>
      </c>
      <c r="L24" s="10">
        <v>83.548983364140497</v>
      </c>
      <c r="M24" s="10">
        <v>80.385053115780295</v>
      </c>
      <c r="N24" s="10">
        <v>58.222419063798199</v>
      </c>
      <c r="O24" s="10">
        <v>83.548983364140497</v>
      </c>
      <c r="P24" s="10">
        <v>83.548983364140497</v>
      </c>
      <c r="Q24" s="10">
        <v>59.665863904353401</v>
      </c>
      <c r="R24" s="10">
        <v>83.548983364140497</v>
      </c>
      <c r="S24" s="10">
        <v>81.454979375953499</v>
      </c>
      <c r="T24" s="10">
        <v>15.819800942902001</v>
      </c>
      <c r="U24" s="10">
        <v>66.319131041273494</v>
      </c>
      <c r="V24" s="10">
        <v>84.180199057097994</v>
      </c>
      <c r="W24" s="10">
        <v>81.545890233403597</v>
      </c>
      <c r="X24" s="10">
        <v>60.3426868905742</v>
      </c>
      <c r="Y24" s="10">
        <v>84.180199057097994</v>
      </c>
      <c r="Z24" s="10">
        <v>84.180199057097994</v>
      </c>
      <c r="AA24" s="10">
        <v>62.106883515004299</v>
      </c>
      <c r="AB24" s="10">
        <v>84.180199057097994</v>
      </c>
      <c r="AC24" s="10">
        <v>82.422817723616205</v>
      </c>
      <c r="AD24" s="10">
        <v>120845.24660471801</v>
      </c>
      <c r="AE24" s="10">
        <v>78.030128000000005</v>
      </c>
      <c r="AF24" s="10">
        <v>14074</v>
      </c>
      <c r="AG24" s="10">
        <v>11420</v>
      </c>
      <c r="AH24" s="10" t="s">
        <v>68</v>
      </c>
      <c r="AI24" s="10" t="s">
        <v>106</v>
      </c>
      <c r="AJ24" s="10" t="s">
        <v>47</v>
      </c>
      <c r="AK24" s="10" t="s">
        <v>48</v>
      </c>
      <c r="AL24" s="10" t="s">
        <v>49</v>
      </c>
      <c r="AM24" s="10" t="s">
        <v>50</v>
      </c>
    </row>
    <row r="25" spans="1:39" x14ac:dyDescent="0.2">
      <c r="A25" s="7">
        <v>0</v>
      </c>
      <c r="B25" s="10">
        <v>2.23</v>
      </c>
      <c r="C25" s="10" t="s">
        <v>69</v>
      </c>
      <c r="D25" s="10" t="s">
        <v>44</v>
      </c>
      <c r="E25" s="10">
        <v>85.101663585951897</v>
      </c>
      <c r="F25" s="10">
        <v>1612</v>
      </c>
      <c r="G25" s="10">
        <v>85.123101100052395</v>
      </c>
      <c r="H25" s="10">
        <v>284</v>
      </c>
      <c r="I25" s="10" t="s">
        <v>98</v>
      </c>
      <c r="J25" s="10">
        <v>14.898336414048099</v>
      </c>
      <c r="K25" s="10">
        <v>67.554076539101501</v>
      </c>
      <c r="L25" s="10">
        <v>85.101663585951897</v>
      </c>
      <c r="M25" s="10">
        <v>79.877622323853302</v>
      </c>
      <c r="N25" s="10">
        <v>50.025587308910403</v>
      </c>
      <c r="O25" s="10">
        <v>85.101663585951897</v>
      </c>
      <c r="P25" s="10">
        <v>85.101663585951897</v>
      </c>
      <c r="Q25" s="10">
        <v>46.037190066791702</v>
      </c>
      <c r="R25" s="10">
        <v>85.101663585951897</v>
      </c>
      <c r="S25" s="10">
        <v>78.269836259659499</v>
      </c>
      <c r="T25" s="10">
        <v>14.8768988999476</v>
      </c>
      <c r="U25" s="10" t="s">
        <v>52</v>
      </c>
      <c r="V25" s="10">
        <v>85.123101100052395</v>
      </c>
      <c r="W25" s="10" t="s">
        <v>52</v>
      </c>
      <c r="X25" s="10">
        <v>50</v>
      </c>
      <c r="Y25" s="10">
        <v>85.123101100052395</v>
      </c>
      <c r="Z25" s="10">
        <v>85.123101100052395</v>
      </c>
      <c r="AA25" s="10">
        <v>45.9818902093945</v>
      </c>
      <c r="AB25" s="10">
        <v>85.123101100052395</v>
      </c>
      <c r="AC25" s="10">
        <v>78.282421781315904</v>
      </c>
      <c r="AD25" s="10">
        <v>55573.8176439167</v>
      </c>
      <c r="AE25" s="10">
        <v>78.944052999999997</v>
      </c>
      <c r="AF25" s="10">
        <v>19260</v>
      </c>
      <c r="AG25" s="10">
        <v>27190</v>
      </c>
      <c r="AH25" s="10" t="s">
        <v>70</v>
      </c>
      <c r="AI25" s="10" t="s">
        <v>106</v>
      </c>
      <c r="AJ25" s="10" t="s">
        <v>47</v>
      </c>
      <c r="AK25" s="10" t="s">
        <v>48</v>
      </c>
      <c r="AL25" s="10" t="s">
        <v>49</v>
      </c>
      <c r="AM25" s="10" t="s">
        <v>50</v>
      </c>
    </row>
    <row r="26" spans="1:39" x14ac:dyDescent="0.2">
      <c r="A26" s="7">
        <v>0</v>
      </c>
      <c r="B26" s="10">
        <v>2.2400000000000002</v>
      </c>
      <c r="C26" s="10" t="s">
        <v>69</v>
      </c>
      <c r="D26" s="10" t="s">
        <v>44</v>
      </c>
      <c r="E26" s="10">
        <v>85.221811460258806</v>
      </c>
      <c r="F26" s="10">
        <v>1599</v>
      </c>
      <c r="G26" s="10">
        <v>84.913567312729199</v>
      </c>
      <c r="H26" s="10">
        <v>288</v>
      </c>
      <c r="I26" s="10" t="s">
        <v>99</v>
      </c>
      <c r="J26" s="10">
        <v>14.778188539741199</v>
      </c>
      <c r="K26" s="10">
        <v>69.408234245160301</v>
      </c>
      <c r="L26" s="10">
        <v>85.221811460258806</v>
      </c>
      <c r="M26" s="10">
        <v>80.987175109425607</v>
      </c>
      <c r="N26" s="10">
        <v>53.089893242039999</v>
      </c>
      <c r="O26" s="10">
        <v>85.221811460258806</v>
      </c>
      <c r="P26" s="10">
        <v>85.221811460258806</v>
      </c>
      <c r="Q26" s="10">
        <v>52.393658332226998</v>
      </c>
      <c r="R26" s="10">
        <v>85.221811460258806</v>
      </c>
      <c r="S26" s="10">
        <v>80.146874933287606</v>
      </c>
      <c r="T26" s="10">
        <v>15.086432687270801</v>
      </c>
      <c r="U26" s="10">
        <v>66.076384573961306</v>
      </c>
      <c r="V26" s="10">
        <v>84.913567312729199</v>
      </c>
      <c r="W26" s="10">
        <v>80.071211195949004</v>
      </c>
      <c r="X26" s="10">
        <v>53.363813651137598</v>
      </c>
      <c r="Y26" s="10">
        <v>84.913567312729199</v>
      </c>
      <c r="Z26" s="10">
        <v>84.913567312729199</v>
      </c>
      <c r="AA26" s="10">
        <v>53.007302863707203</v>
      </c>
      <c r="AB26" s="10">
        <v>84.913567312729199</v>
      </c>
      <c r="AC26" s="10">
        <v>80.207748271296794</v>
      </c>
      <c r="AD26" s="10">
        <v>42899.906825525803</v>
      </c>
      <c r="AE26" s="10">
        <v>55.354902000000003</v>
      </c>
      <c r="AF26" s="10">
        <v>19294</v>
      </c>
      <c r="AG26" s="10">
        <v>27190</v>
      </c>
      <c r="AH26" s="10" t="s">
        <v>71</v>
      </c>
      <c r="AI26" s="10" t="s">
        <v>106</v>
      </c>
      <c r="AJ26" s="10" t="s">
        <v>47</v>
      </c>
      <c r="AK26" s="10" t="s">
        <v>48</v>
      </c>
      <c r="AL26" s="10" t="s">
        <v>49</v>
      </c>
      <c r="AM26" s="10" t="s">
        <v>50</v>
      </c>
    </row>
    <row r="27" spans="1:39" x14ac:dyDescent="0.2">
      <c r="A27" s="7">
        <v>0</v>
      </c>
      <c r="B27" s="10">
        <v>2.2999999999999998</v>
      </c>
      <c r="C27" s="10" t="s">
        <v>45</v>
      </c>
      <c r="D27" s="10" t="s">
        <v>44</v>
      </c>
      <c r="E27" s="10">
        <v>85.166358595194097</v>
      </c>
      <c r="F27" s="10">
        <v>1605</v>
      </c>
      <c r="G27" s="10">
        <v>84.651650078575202</v>
      </c>
      <c r="H27" s="10">
        <v>293</v>
      </c>
      <c r="I27" s="10" t="s">
        <v>100</v>
      </c>
      <c r="J27" s="10">
        <v>14.833641404805901</v>
      </c>
      <c r="K27" s="10">
        <v>68.654559833277901</v>
      </c>
      <c r="L27" s="10">
        <v>85.166358595194097</v>
      </c>
      <c r="M27" s="10">
        <v>81.050648328584799</v>
      </c>
      <c r="N27" s="10">
        <v>54.618138720672299</v>
      </c>
      <c r="O27" s="10">
        <v>85.166358595194097</v>
      </c>
      <c r="P27" s="10">
        <v>85.166358595194097</v>
      </c>
      <c r="Q27" s="10">
        <v>55.040330269149898</v>
      </c>
      <c r="R27" s="10">
        <v>85.166358595194097</v>
      </c>
      <c r="S27" s="10">
        <v>80.877217608500899</v>
      </c>
      <c r="T27" s="10">
        <v>15.3483499214248</v>
      </c>
      <c r="U27" s="10">
        <v>66.376663520283799</v>
      </c>
      <c r="V27" s="10">
        <v>84.651650078575202</v>
      </c>
      <c r="W27" s="10">
        <v>80.834927222153297</v>
      </c>
      <c r="X27" s="10">
        <v>56.842145178764902</v>
      </c>
      <c r="Y27" s="10">
        <v>84.651650078575202</v>
      </c>
      <c r="Z27" s="10">
        <v>84.651650078575202</v>
      </c>
      <c r="AA27" s="10">
        <v>58.2570933246365</v>
      </c>
      <c r="AB27" s="10">
        <v>84.651650078575202</v>
      </c>
      <c r="AC27" s="10">
        <v>81.574023895803705</v>
      </c>
      <c r="AD27" s="10">
        <v>34072.730479033598</v>
      </c>
      <c r="AE27" s="10">
        <v>58.229866000000001</v>
      </c>
      <c r="AF27" s="10">
        <v>7205</v>
      </c>
      <c r="AG27" s="10">
        <v>5972</v>
      </c>
      <c r="AH27" s="10" t="s">
        <v>72</v>
      </c>
      <c r="AI27" s="10" t="s">
        <v>106</v>
      </c>
      <c r="AJ27" s="10" t="s">
        <v>47</v>
      </c>
      <c r="AK27" s="10" t="s">
        <v>48</v>
      </c>
      <c r="AL27" s="10" t="s">
        <v>49</v>
      </c>
      <c r="AM27" s="10" t="s">
        <v>50</v>
      </c>
    </row>
    <row r="28" spans="1:39" x14ac:dyDescent="0.2">
      <c r="A28" s="7">
        <v>0</v>
      </c>
      <c r="B28" s="10">
        <v>2.4</v>
      </c>
      <c r="C28" s="10" t="s">
        <v>73</v>
      </c>
      <c r="D28" s="10" t="s">
        <v>44</v>
      </c>
      <c r="E28" s="10">
        <v>86.109057301293902</v>
      </c>
      <c r="F28" s="10">
        <v>1503</v>
      </c>
      <c r="G28" s="10">
        <v>86.118386589837598</v>
      </c>
      <c r="H28" s="10">
        <v>265</v>
      </c>
      <c r="I28" s="10" t="s">
        <v>73</v>
      </c>
      <c r="J28" s="10">
        <v>13.8909426987061</v>
      </c>
      <c r="K28" s="10">
        <v>73.689233452355595</v>
      </c>
      <c r="L28" s="10">
        <v>86.109057301293902</v>
      </c>
      <c r="M28" s="10">
        <v>83.4010907672141</v>
      </c>
      <c r="N28" s="10">
        <v>59.061275878349399</v>
      </c>
      <c r="O28" s="10">
        <v>86.109057301293902</v>
      </c>
      <c r="P28" s="10">
        <v>86.109057301293902</v>
      </c>
      <c r="Q28" s="10">
        <v>61.429890277996002</v>
      </c>
      <c r="R28" s="10">
        <v>86.109057301293902</v>
      </c>
      <c r="S28" s="10">
        <v>83.089387991337503</v>
      </c>
      <c r="T28" s="10">
        <v>13.8816134101624</v>
      </c>
      <c r="U28" s="10">
        <v>72.986010046476693</v>
      </c>
      <c r="V28" s="10">
        <v>86.118386589837598</v>
      </c>
      <c r="W28" s="10">
        <v>83.524919049856095</v>
      </c>
      <c r="X28" s="10">
        <v>60.609425785482102</v>
      </c>
      <c r="Y28" s="10">
        <v>86.118386589837598</v>
      </c>
      <c r="Z28" s="10">
        <v>86.118386589837598</v>
      </c>
      <c r="AA28" s="10">
        <v>63.241646654483802</v>
      </c>
      <c r="AB28" s="10">
        <v>86.118386589837598</v>
      </c>
      <c r="AC28" s="10">
        <v>83.611970859868606</v>
      </c>
      <c r="AD28" s="10">
        <v>23435.5878715418</v>
      </c>
      <c r="AE28" s="10">
        <v>55.337079000000003</v>
      </c>
      <c r="AF28" s="10">
        <v>3808698</v>
      </c>
      <c r="AG28" s="10">
        <v>12647</v>
      </c>
      <c r="AH28" s="10" t="s">
        <v>47</v>
      </c>
      <c r="AI28" s="10" t="s">
        <v>106</v>
      </c>
      <c r="AJ28" s="10" t="s">
        <v>47</v>
      </c>
      <c r="AK28" s="10" t="s">
        <v>48</v>
      </c>
      <c r="AL28" s="10" t="s">
        <v>49</v>
      </c>
      <c r="AM28" s="10" t="s">
        <v>50</v>
      </c>
    </row>
    <row r="29" spans="1:39" x14ac:dyDescent="0.2">
      <c r="A29" s="7">
        <v>0</v>
      </c>
      <c r="B29" s="10">
        <v>2.5</v>
      </c>
      <c r="C29" s="10" t="s">
        <v>74</v>
      </c>
      <c r="D29" s="10" t="s">
        <v>44</v>
      </c>
      <c r="E29" s="10">
        <v>85.101663585951897</v>
      </c>
      <c r="F29" s="10">
        <v>1612</v>
      </c>
      <c r="G29" s="10">
        <v>85.123101100052395</v>
      </c>
      <c r="H29" s="10">
        <v>284</v>
      </c>
      <c r="I29" s="10" t="s">
        <v>74</v>
      </c>
      <c r="J29" s="10">
        <v>14.898336414048099</v>
      </c>
      <c r="K29" s="10" t="s">
        <v>52</v>
      </c>
      <c r="L29" s="10">
        <v>85.101663585951897</v>
      </c>
      <c r="M29" s="10" t="s">
        <v>52</v>
      </c>
      <c r="N29" s="10">
        <v>50</v>
      </c>
      <c r="O29" s="10">
        <v>85.101663585951897</v>
      </c>
      <c r="P29" s="10">
        <v>85.101663585951897</v>
      </c>
      <c r="Q29" s="10">
        <v>45.975634112242901</v>
      </c>
      <c r="R29" s="10">
        <v>85.101663585951897</v>
      </c>
      <c r="S29" s="10">
        <v>78.252058947418206</v>
      </c>
      <c r="T29" s="10">
        <v>14.8768988999476</v>
      </c>
      <c r="U29" s="10" t="s">
        <v>52</v>
      </c>
      <c r="V29" s="10">
        <v>85.123101100052395</v>
      </c>
      <c r="W29" s="10" t="s">
        <v>52</v>
      </c>
      <c r="X29" s="10">
        <v>50</v>
      </c>
      <c r="Y29" s="10">
        <v>85.123101100052395</v>
      </c>
      <c r="Z29" s="10">
        <v>85.123101100052395</v>
      </c>
      <c r="AA29" s="10">
        <v>45.9818902093945</v>
      </c>
      <c r="AB29" s="10">
        <v>85.123101100052395</v>
      </c>
      <c r="AC29" s="10">
        <v>78.282421781315904</v>
      </c>
      <c r="AD29" s="10">
        <v>35130.668554155498</v>
      </c>
      <c r="AE29" s="10">
        <v>53.919226999999999</v>
      </c>
      <c r="AF29" s="10">
        <v>13358</v>
      </c>
      <c r="AG29" s="10">
        <v>5998</v>
      </c>
      <c r="AH29" s="10" t="s">
        <v>75</v>
      </c>
      <c r="AI29" s="10" t="s">
        <v>106</v>
      </c>
      <c r="AJ29" s="10" t="s">
        <v>47</v>
      </c>
      <c r="AK29" s="10" t="s">
        <v>48</v>
      </c>
      <c r="AL29" s="10" t="s">
        <v>49</v>
      </c>
      <c r="AM29" s="10" t="s">
        <v>50</v>
      </c>
    </row>
    <row r="30" spans="1:39" x14ac:dyDescent="0.2">
      <c r="A30" s="7">
        <v>0</v>
      </c>
      <c r="B30" s="10">
        <v>2.6</v>
      </c>
      <c r="C30" s="10" t="s">
        <v>76</v>
      </c>
      <c r="D30" s="10" t="s">
        <v>44</v>
      </c>
      <c r="E30" s="10">
        <v>85.101663585951897</v>
      </c>
      <c r="F30" s="10">
        <v>1612</v>
      </c>
      <c r="G30" s="10">
        <v>85.123101100052395</v>
      </c>
      <c r="H30" s="10">
        <v>284</v>
      </c>
      <c r="I30" s="10" t="s">
        <v>76</v>
      </c>
      <c r="J30" s="10">
        <v>14.898336414048099</v>
      </c>
      <c r="K30" s="10" t="s">
        <v>52</v>
      </c>
      <c r="L30" s="10">
        <v>85.101663585951897</v>
      </c>
      <c r="M30" s="10" t="s">
        <v>52</v>
      </c>
      <c r="N30" s="10">
        <v>50</v>
      </c>
      <c r="O30" s="10">
        <v>85.101663585951897</v>
      </c>
      <c r="P30" s="10">
        <v>85.101663585951897</v>
      </c>
      <c r="Q30" s="10">
        <v>45.975634112242901</v>
      </c>
      <c r="R30" s="10">
        <v>85.101663585951897</v>
      </c>
      <c r="S30" s="10">
        <v>78.252058947418206</v>
      </c>
      <c r="T30" s="10">
        <v>14.8768988999476</v>
      </c>
      <c r="U30" s="10" t="s">
        <v>52</v>
      </c>
      <c r="V30" s="10">
        <v>85.123101100052395</v>
      </c>
      <c r="W30" s="10" t="s">
        <v>52</v>
      </c>
      <c r="X30" s="10">
        <v>50</v>
      </c>
      <c r="Y30" s="10">
        <v>85.123101100052395</v>
      </c>
      <c r="Z30" s="10">
        <v>85.123101100052395</v>
      </c>
      <c r="AA30" s="10">
        <v>45.9818902093945</v>
      </c>
      <c r="AB30" s="10">
        <v>85.123101100052395</v>
      </c>
      <c r="AC30" s="10">
        <v>78.282421781315904</v>
      </c>
      <c r="AD30" s="10">
        <v>42188.828148760498</v>
      </c>
      <c r="AE30" s="10">
        <v>52.587335000000003</v>
      </c>
      <c r="AF30" s="10">
        <v>13316</v>
      </c>
      <c r="AG30" s="10">
        <v>5998</v>
      </c>
      <c r="AH30" s="10" t="s">
        <v>77</v>
      </c>
      <c r="AI30" s="10" t="s">
        <v>106</v>
      </c>
      <c r="AJ30" s="10" t="s">
        <v>47</v>
      </c>
      <c r="AK30" s="10" t="s">
        <v>48</v>
      </c>
      <c r="AL30" s="10" t="s">
        <v>49</v>
      </c>
      <c r="AM30" s="10" t="s">
        <v>50</v>
      </c>
    </row>
    <row r="31" spans="1:39" x14ac:dyDescent="0.2">
      <c r="A31" s="7">
        <v>0</v>
      </c>
      <c r="B31" s="10">
        <v>2.7</v>
      </c>
      <c r="C31" s="10" t="s">
        <v>78</v>
      </c>
      <c r="D31" s="10" t="s">
        <v>44</v>
      </c>
      <c r="E31" s="10">
        <v>83.650646950092394</v>
      </c>
      <c r="F31" s="10">
        <v>1769</v>
      </c>
      <c r="G31" s="10">
        <v>83.813514929282306</v>
      </c>
      <c r="H31" s="10">
        <v>309</v>
      </c>
      <c r="I31" s="10" t="s">
        <v>101</v>
      </c>
      <c r="J31" s="10">
        <v>16.349353049907599</v>
      </c>
      <c r="K31" s="10">
        <v>64.995796715199006</v>
      </c>
      <c r="L31" s="10">
        <v>83.650646950092394</v>
      </c>
      <c r="M31" s="10">
        <v>81.050888759641595</v>
      </c>
      <c r="N31" s="10">
        <v>59.894150194134802</v>
      </c>
      <c r="O31" s="10">
        <v>83.650646950092394</v>
      </c>
      <c r="P31" s="10">
        <v>83.650646950092394</v>
      </c>
      <c r="Q31" s="10">
        <v>61.450441784892</v>
      </c>
      <c r="R31" s="10">
        <v>83.650646950092394</v>
      </c>
      <c r="S31" s="10">
        <v>81.987862127707999</v>
      </c>
      <c r="T31" s="10">
        <v>16.186485070717598</v>
      </c>
      <c r="U31" s="10">
        <v>65.525720928730607</v>
      </c>
      <c r="V31" s="10">
        <v>83.813514929282306</v>
      </c>
      <c r="W31" s="10">
        <v>81.337411292843996</v>
      </c>
      <c r="X31" s="10">
        <v>60.417876489707503</v>
      </c>
      <c r="Y31" s="10">
        <v>83.813514929282306</v>
      </c>
      <c r="Z31" s="10">
        <v>83.813514929282306</v>
      </c>
      <c r="AA31" s="10">
        <v>62.025602482352802</v>
      </c>
      <c r="AB31" s="10">
        <v>83.813514929282306</v>
      </c>
      <c r="AC31" s="10">
        <v>82.231405104297806</v>
      </c>
      <c r="AD31" s="10">
        <v>26603.853378836899</v>
      </c>
      <c r="AE31" s="10">
        <v>51.422308000000001</v>
      </c>
      <c r="AF31" s="10">
        <v>13978</v>
      </c>
      <c r="AG31" s="10">
        <v>12885</v>
      </c>
      <c r="AH31" s="10" t="s">
        <v>79</v>
      </c>
      <c r="AI31" s="10" t="s">
        <v>106</v>
      </c>
      <c r="AJ31" s="10" t="s">
        <v>47</v>
      </c>
      <c r="AK31" s="10" t="s">
        <v>48</v>
      </c>
      <c r="AL31" s="10" t="s">
        <v>49</v>
      </c>
      <c r="AM31" s="10" t="s">
        <v>50</v>
      </c>
    </row>
    <row r="32" spans="1:39" x14ac:dyDescent="0.2">
      <c r="A32" s="7">
        <v>0</v>
      </c>
      <c r="B32" s="10">
        <v>2.8</v>
      </c>
      <c r="C32" s="10" t="s">
        <v>78</v>
      </c>
      <c r="D32" s="10" t="s">
        <v>44</v>
      </c>
      <c r="E32" s="10">
        <v>84.168207024029599</v>
      </c>
      <c r="F32" s="10">
        <v>1713</v>
      </c>
      <c r="G32" s="10">
        <v>84.389732844421204</v>
      </c>
      <c r="H32" s="10">
        <v>298</v>
      </c>
      <c r="I32" s="10" t="s">
        <v>102</v>
      </c>
      <c r="J32" s="10">
        <v>15.8317929759704</v>
      </c>
      <c r="K32" s="10">
        <v>65.5380334588978</v>
      </c>
      <c r="L32" s="10">
        <v>84.168207024029599</v>
      </c>
      <c r="M32" s="10">
        <v>80.883381366156598</v>
      </c>
      <c r="N32" s="10">
        <v>58.381534667232899</v>
      </c>
      <c r="O32" s="10">
        <v>84.168207024029599</v>
      </c>
      <c r="P32" s="10">
        <v>84.168207024029599</v>
      </c>
      <c r="Q32" s="10">
        <v>60.021111656084102</v>
      </c>
      <c r="R32" s="10">
        <v>84.168207024029599</v>
      </c>
      <c r="S32" s="10">
        <v>81.833614500050501</v>
      </c>
      <c r="T32" s="10">
        <v>15.6102671555788</v>
      </c>
      <c r="U32" s="10">
        <v>66.420096504246303</v>
      </c>
      <c r="V32" s="10">
        <v>84.389732844421204</v>
      </c>
      <c r="W32" s="10">
        <v>81.322559294706707</v>
      </c>
      <c r="X32" s="10">
        <v>59.1581798483207</v>
      </c>
      <c r="Y32" s="10">
        <v>84.389732844421204</v>
      </c>
      <c r="Z32" s="10">
        <v>84.389732844421204</v>
      </c>
      <c r="AA32" s="10">
        <v>60.950962356882002</v>
      </c>
      <c r="AB32" s="10">
        <v>84.389732844421204</v>
      </c>
      <c r="AC32" s="10">
        <v>82.202748174184194</v>
      </c>
      <c r="AD32" s="10">
        <v>624.39767553249806</v>
      </c>
      <c r="AE32" s="10">
        <v>93.952248999999995</v>
      </c>
      <c r="AF32" s="10">
        <v>5608634</v>
      </c>
      <c r="AG32" s="10">
        <v>2783317</v>
      </c>
      <c r="AH32" s="10" t="s">
        <v>80</v>
      </c>
      <c r="AI32" s="10" t="s">
        <v>106</v>
      </c>
      <c r="AJ32" s="10" t="s">
        <v>47</v>
      </c>
      <c r="AK32" s="10" t="s">
        <v>48</v>
      </c>
      <c r="AL32" s="10" t="s">
        <v>49</v>
      </c>
      <c r="AM32" s="10" t="s">
        <v>50</v>
      </c>
    </row>
    <row r="33" spans="1:39" x14ac:dyDescent="0.2">
      <c r="A33" s="7">
        <v>0</v>
      </c>
      <c r="B33" s="10">
        <v>2.9</v>
      </c>
      <c r="C33" s="10" t="s">
        <v>51</v>
      </c>
      <c r="D33" s="10" t="s">
        <v>44</v>
      </c>
      <c r="E33" s="10">
        <v>85.101663585951897</v>
      </c>
      <c r="F33" s="10">
        <v>1612</v>
      </c>
      <c r="G33" s="10">
        <v>85.123101100052395</v>
      </c>
      <c r="H33" s="10">
        <v>284</v>
      </c>
      <c r="I33" s="10" t="s">
        <v>103</v>
      </c>
      <c r="J33" s="10">
        <v>14.898336414048099</v>
      </c>
      <c r="K33" s="10" t="s">
        <v>52</v>
      </c>
      <c r="L33" s="10">
        <v>85.101663585951897</v>
      </c>
      <c r="M33" s="10" t="s">
        <v>52</v>
      </c>
      <c r="N33" s="10">
        <v>50</v>
      </c>
      <c r="O33" s="10">
        <v>85.101663585951897</v>
      </c>
      <c r="P33" s="10">
        <v>85.101663585951897</v>
      </c>
      <c r="Q33" s="10">
        <v>45.975634112242901</v>
      </c>
      <c r="R33" s="10">
        <v>85.101663585951897</v>
      </c>
      <c r="S33" s="10">
        <v>78.252058947418206</v>
      </c>
      <c r="T33" s="10">
        <v>14.8768988999476</v>
      </c>
      <c r="U33" s="10" t="s">
        <v>52</v>
      </c>
      <c r="V33" s="10">
        <v>85.123101100052395</v>
      </c>
      <c r="W33" s="10" t="s">
        <v>52</v>
      </c>
      <c r="X33" s="10">
        <v>50</v>
      </c>
      <c r="Y33" s="10">
        <v>85.123101100052395</v>
      </c>
      <c r="Z33" s="10">
        <v>85.123101100052395</v>
      </c>
      <c r="AA33" s="10">
        <v>45.9818902093945</v>
      </c>
      <c r="AB33" s="10">
        <v>85.123101100052395</v>
      </c>
      <c r="AC33" s="10">
        <v>78.282421781315904</v>
      </c>
      <c r="AD33" s="10">
        <v>13985.164351531699</v>
      </c>
      <c r="AE33" s="10">
        <v>49.983713000000002</v>
      </c>
      <c r="AF33" s="10">
        <v>643825</v>
      </c>
      <c r="AG33" s="10">
        <v>642512</v>
      </c>
      <c r="AH33" s="10" t="s">
        <v>81</v>
      </c>
      <c r="AI33" s="10" t="s">
        <v>106</v>
      </c>
      <c r="AJ33" s="10" t="s">
        <v>47</v>
      </c>
      <c r="AK33" s="10" t="s">
        <v>48</v>
      </c>
      <c r="AL33" s="10" t="s">
        <v>49</v>
      </c>
      <c r="AM33" s="10" t="s">
        <v>50</v>
      </c>
    </row>
  </sheetData>
  <sortState xmlns:xlrd2="http://schemas.microsoft.com/office/spreadsheetml/2017/richdata2" ref="A10:AM33">
    <sortCondition ref="B10:B33"/>
  </sortState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5F69-DFA6-D445-B27C-05C8A46B67F4}">
  <dimension ref="A1:AL33"/>
  <sheetViews>
    <sheetView topLeftCell="A9" workbookViewId="0">
      <selection activeCell="C40" sqref="C40"/>
    </sheetView>
  </sheetViews>
  <sheetFormatPr baseColWidth="10" defaultColWidth="11" defaultRowHeight="16" x14ac:dyDescent="0.2"/>
  <sheetData>
    <row r="1" spans="1:38" x14ac:dyDescent="0.2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x14ac:dyDescent="0.2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x14ac:dyDescent="0.2">
      <c r="A3" s="1" t="s">
        <v>105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2">
      <c r="A4" s="1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x14ac:dyDescent="0.2">
      <c r="A5" s="1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x14ac:dyDescent="0.2">
      <c r="A6" s="1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x14ac:dyDescent="0.2">
      <c r="A9" s="1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  <c r="K9" s="2" t="s">
        <v>16</v>
      </c>
      <c r="L9" s="2" t="s">
        <v>17</v>
      </c>
      <c r="M9" s="2" t="s">
        <v>18</v>
      </c>
      <c r="N9" s="2" t="s">
        <v>19</v>
      </c>
      <c r="O9" s="2" t="s">
        <v>20</v>
      </c>
      <c r="P9" s="2" t="s">
        <v>21</v>
      </c>
      <c r="Q9" s="2" t="s">
        <v>22</v>
      </c>
      <c r="R9" s="2" t="s">
        <v>23</v>
      </c>
      <c r="S9" s="2" t="s">
        <v>24</v>
      </c>
      <c r="T9" s="2" t="s">
        <v>25</v>
      </c>
      <c r="U9" s="2" t="s">
        <v>26</v>
      </c>
      <c r="V9" s="2" t="s">
        <v>27</v>
      </c>
      <c r="W9" s="2" t="s">
        <v>28</v>
      </c>
      <c r="X9" s="2" t="s">
        <v>29</v>
      </c>
      <c r="Y9" s="2" t="s">
        <v>30</v>
      </c>
      <c r="Z9" s="2" t="s">
        <v>31</v>
      </c>
      <c r="AA9" s="2" t="s">
        <v>32</v>
      </c>
      <c r="AB9" s="2" t="s">
        <v>33</v>
      </c>
      <c r="AC9" s="2" t="s">
        <v>34</v>
      </c>
      <c r="AD9" s="2" t="s">
        <v>35</v>
      </c>
      <c r="AE9" s="2" t="s">
        <v>36</v>
      </c>
      <c r="AF9" s="2" t="s">
        <v>37</v>
      </c>
      <c r="AG9" s="2" t="s">
        <v>38</v>
      </c>
      <c r="AH9" s="2" t="s">
        <v>39</v>
      </c>
      <c r="AI9" s="2" t="s">
        <v>40</v>
      </c>
      <c r="AJ9" s="2" t="s">
        <v>41</v>
      </c>
      <c r="AK9" s="2" t="s">
        <v>42</v>
      </c>
      <c r="AL9" s="2" t="s">
        <v>43</v>
      </c>
    </row>
    <row r="10" spans="1:38" x14ac:dyDescent="0.2">
      <c r="A10" s="1">
        <v>0</v>
      </c>
      <c r="B10" s="2">
        <v>2.1</v>
      </c>
      <c r="C10" s="2" t="s">
        <v>44</v>
      </c>
      <c r="D10" s="2" t="s">
        <v>45</v>
      </c>
      <c r="E10" s="2">
        <v>84.935304990757899</v>
      </c>
      <c r="F10" s="2">
        <v>1630</v>
      </c>
      <c r="G10" s="2">
        <v>15.064695009242101</v>
      </c>
      <c r="H10" s="2">
        <v>68.323920295898802</v>
      </c>
      <c r="I10" s="2">
        <v>84.935304990757899</v>
      </c>
      <c r="J10" s="2">
        <v>81.985687093446401</v>
      </c>
      <c r="K10" s="2">
        <v>59.804547453611399</v>
      </c>
      <c r="L10" s="2">
        <v>84.935304990757899</v>
      </c>
      <c r="M10" s="2">
        <v>84.935304990757899</v>
      </c>
      <c r="N10" s="2">
        <v>61.861322139679203</v>
      </c>
      <c r="O10" s="2">
        <v>84.935304990757899</v>
      </c>
      <c r="P10" s="2">
        <v>82.687127003841894</v>
      </c>
      <c r="Q10" s="2">
        <v>85.594552121529603</v>
      </c>
      <c r="R10" s="2">
        <v>275</v>
      </c>
      <c r="S10" s="2">
        <v>14.405447878470399</v>
      </c>
      <c r="T10" s="2">
        <v>70.711047482701005</v>
      </c>
      <c r="U10" s="2">
        <v>85.594552121529603</v>
      </c>
      <c r="V10" s="2">
        <v>82.770733114525299</v>
      </c>
      <c r="W10" s="2">
        <v>60.156446370530901</v>
      </c>
      <c r="X10" s="2">
        <v>85.594552121529603</v>
      </c>
      <c r="Y10" s="2">
        <v>85.594552121529603</v>
      </c>
      <c r="Z10" s="2">
        <v>62.5092035361575</v>
      </c>
      <c r="AA10" s="2">
        <v>85.594552121529603</v>
      </c>
      <c r="AB10" s="2">
        <v>83.175059646293704</v>
      </c>
      <c r="AC10" s="2">
        <v>543390.92004821205</v>
      </c>
      <c r="AD10" s="2">
        <v>3.4451499999999999</v>
      </c>
      <c r="AE10" s="2">
        <v>30933</v>
      </c>
      <c r="AF10" s="2">
        <v>22748</v>
      </c>
      <c r="AG10" s="2" t="s">
        <v>46</v>
      </c>
      <c r="AH10" s="2" t="s">
        <v>106</v>
      </c>
      <c r="AI10" s="2" t="s">
        <v>47</v>
      </c>
      <c r="AJ10" s="2" t="s">
        <v>48</v>
      </c>
      <c r="AK10" s="2" t="s">
        <v>49</v>
      </c>
      <c r="AL10" s="2" t="s">
        <v>50</v>
      </c>
    </row>
    <row r="11" spans="1:38" x14ac:dyDescent="0.2">
      <c r="A11" s="1">
        <v>0</v>
      </c>
      <c r="B11" s="2">
        <v>2.1</v>
      </c>
      <c r="C11" s="2" t="s">
        <v>44</v>
      </c>
      <c r="D11" s="2" t="s">
        <v>51</v>
      </c>
      <c r="E11" s="2">
        <v>85.415896487985194</v>
      </c>
      <c r="F11" s="2">
        <v>1578</v>
      </c>
      <c r="G11" s="2">
        <v>14.584103512014799</v>
      </c>
      <c r="H11" s="2">
        <v>79.553043460281998</v>
      </c>
      <c r="I11" s="2">
        <v>85.415896487985194</v>
      </c>
      <c r="J11" s="2">
        <v>83.724477667703695</v>
      </c>
      <c r="K11" s="2">
        <v>51.540749440016597</v>
      </c>
      <c r="L11" s="2">
        <v>85.415896487985194</v>
      </c>
      <c r="M11" s="2">
        <v>85.415896487985194</v>
      </c>
      <c r="N11" s="2">
        <v>49.193570272652103</v>
      </c>
      <c r="O11" s="2">
        <v>85.415896487985194</v>
      </c>
      <c r="P11" s="2">
        <v>79.310119083036298</v>
      </c>
      <c r="Q11" s="2" t="s">
        <v>52</v>
      </c>
      <c r="R11" s="2" t="s">
        <v>52</v>
      </c>
      <c r="S11" s="2" t="s">
        <v>52</v>
      </c>
      <c r="T11" s="2" t="s">
        <v>52</v>
      </c>
      <c r="U11" s="2" t="s">
        <v>52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>
        <v>15317.621210233599</v>
      </c>
      <c r="AD11" s="2">
        <v>106.409465</v>
      </c>
      <c r="AE11" s="2">
        <v>649033</v>
      </c>
      <c r="AF11" s="2">
        <v>647888</v>
      </c>
      <c r="AG11" s="2" t="s">
        <v>53</v>
      </c>
      <c r="AH11" s="2" t="s">
        <v>106</v>
      </c>
      <c r="AI11" s="2" t="s">
        <v>47</v>
      </c>
      <c r="AJ11" s="2" t="s">
        <v>48</v>
      </c>
      <c r="AK11" s="2" t="s">
        <v>49</v>
      </c>
      <c r="AL11" s="2" t="s">
        <v>50</v>
      </c>
    </row>
    <row r="12" spans="1:38" x14ac:dyDescent="0.2">
      <c r="A12" s="1">
        <v>0</v>
      </c>
      <c r="B12" s="2">
        <v>2.11</v>
      </c>
      <c r="C12" s="2" t="s">
        <v>44</v>
      </c>
      <c r="D12" s="2" t="s">
        <v>51</v>
      </c>
      <c r="E12" s="2">
        <v>84.057301293900196</v>
      </c>
      <c r="F12" s="2">
        <v>1725</v>
      </c>
      <c r="G12" s="2">
        <v>15.942698706099801</v>
      </c>
      <c r="H12" s="2">
        <v>65.582388852977104</v>
      </c>
      <c r="I12" s="2">
        <v>84.057301293900196</v>
      </c>
      <c r="J12" s="2">
        <v>81.054873406588101</v>
      </c>
      <c r="K12" s="2">
        <v>59.135167822564497</v>
      </c>
      <c r="L12" s="2">
        <v>84.057301293900196</v>
      </c>
      <c r="M12" s="2">
        <v>84.057301293900196</v>
      </c>
      <c r="N12" s="2">
        <v>60.816451258442797</v>
      </c>
      <c r="O12" s="2">
        <v>84.057301293900196</v>
      </c>
      <c r="P12" s="2">
        <v>82.001798296644395</v>
      </c>
      <c r="Q12" s="2" t="s">
        <v>52</v>
      </c>
      <c r="R12" s="2" t="s">
        <v>52</v>
      </c>
      <c r="S12" s="2" t="s">
        <v>52</v>
      </c>
      <c r="T12" s="2" t="s">
        <v>52</v>
      </c>
      <c r="U12" s="2" t="s">
        <v>52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>
        <v>22969.0830198613</v>
      </c>
      <c r="AD12" s="2">
        <v>133.97675699999999</v>
      </c>
      <c r="AE12" s="2">
        <v>683017</v>
      </c>
      <c r="AF12" s="2">
        <v>681872</v>
      </c>
      <c r="AG12" s="2" t="s">
        <v>54</v>
      </c>
      <c r="AH12" s="2" t="s">
        <v>106</v>
      </c>
      <c r="AI12" s="2" t="s">
        <v>47</v>
      </c>
      <c r="AJ12" s="2" t="s">
        <v>48</v>
      </c>
      <c r="AK12" s="2" t="s">
        <v>49</v>
      </c>
      <c r="AL12" s="2" t="s">
        <v>50</v>
      </c>
    </row>
    <row r="13" spans="1:38" x14ac:dyDescent="0.2">
      <c r="A13" s="1">
        <v>0</v>
      </c>
      <c r="B13" s="2">
        <v>2.12</v>
      </c>
      <c r="C13" s="2" t="s">
        <v>44</v>
      </c>
      <c r="D13" s="2" t="s">
        <v>51</v>
      </c>
      <c r="E13" s="2">
        <v>85.101663585951897</v>
      </c>
      <c r="F13" s="2">
        <v>1612</v>
      </c>
      <c r="G13" s="2">
        <v>14.898336414048099</v>
      </c>
      <c r="H13" s="2" t="s">
        <v>52</v>
      </c>
      <c r="I13" s="2">
        <v>85.101663585951897</v>
      </c>
      <c r="J13" s="2" t="s">
        <v>52</v>
      </c>
      <c r="K13" s="2">
        <v>50</v>
      </c>
      <c r="L13" s="2">
        <v>85.101663585951897</v>
      </c>
      <c r="M13" s="2">
        <v>85.101663585951897</v>
      </c>
      <c r="N13" s="2">
        <v>45.975634112242901</v>
      </c>
      <c r="O13" s="2">
        <v>85.101663585951897</v>
      </c>
      <c r="P13" s="2">
        <v>78.252058947418206</v>
      </c>
      <c r="Q13" s="2">
        <v>85.123101100052395</v>
      </c>
      <c r="R13" s="2">
        <v>284</v>
      </c>
      <c r="S13" s="2">
        <v>14.8768988999476</v>
      </c>
      <c r="T13" s="2" t="s">
        <v>52</v>
      </c>
      <c r="U13" s="2">
        <v>85.123101100052395</v>
      </c>
      <c r="V13" s="2" t="s">
        <v>52</v>
      </c>
      <c r="W13" s="2">
        <v>50</v>
      </c>
      <c r="X13" s="2">
        <v>85.123101100052395</v>
      </c>
      <c r="Y13" s="2">
        <v>85.123101100052395</v>
      </c>
      <c r="Z13" s="2">
        <v>45.9818902093945</v>
      </c>
      <c r="AA13" s="2">
        <v>85.123101100052395</v>
      </c>
      <c r="AB13" s="2">
        <v>78.282421781315904</v>
      </c>
      <c r="AC13" s="2">
        <v>5153.9492255024297</v>
      </c>
      <c r="AD13" s="2">
        <v>52.189258000000002</v>
      </c>
      <c r="AE13" s="2">
        <v>2084805</v>
      </c>
      <c r="AF13" s="2">
        <v>2083664</v>
      </c>
      <c r="AG13" s="2" t="s">
        <v>107</v>
      </c>
      <c r="AH13" s="2" t="s">
        <v>106</v>
      </c>
      <c r="AI13" s="2" t="s">
        <v>47</v>
      </c>
      <c r="AJ13" s="2" t="s">
        <v>48</v>
      </c>
      <c r="AK13" s="2" t="s">
        <v>49</v>
      </c>
      <c r="AL13" s="2" t="s">
        <v>50</v>
      </c>
    </row>
    <row r="14" spans="1:38" x14ac:dyDescent="0.2">
      <c r="A14" s="1">
        <v>0</v>
      </c>
      <c r="B14" s="2">
        <v>2.13</v>
      </c>
      <c r="C14" s="2" t="s">
        <v>44</v>
      </c>
      <c r="D14" s="2" t="s">
        <v>51</v>
      </c>
      <c r="E14" s="2">
        <v>85.508317929759698</v>
      </c>
      <c r="F14" s="2">
        <v>1568</v>
      </c>
      <c r="G14" s="2">
        <v>14.4916820702403</v>
      </c>
      <c r="H14" s="2">
        <v>77.017133956386303</v>
      </c>
      <c r="I14" s="2">
        <v>85.508317929759698</v>
      </c>
      <c r="J14" s="2">
        <v>83.113450918743993</v>
      </c>
      <c r="K14" s="2">
        <v>52.337082006583998</v>
      </c>
      <c r="L14" s="2">
        <v>85.508317929759698</v>
      </c>
      <c r="M14" s="2">
        <v>85.508317929759698</v>
      </c>
      <c r="N14" s="2">
        <v>50.79629575493</v>
      </c>
      <c r="O14" s="2">
        <v>85.508317929759698</v>
      </c>
      <c r="P14" s="2">
        <v>79.8095572470082</v>
      </c>
      <c r="Q14" s="2">
        <v>85.5421686746988</v>
      </c>
      <c r="R14" s="2">
        <v>276</v>
      </c>
      <c r="S14" s="2">
        <v>14.4578313253012</v>
      </c>
      <c r="T14" s="2">
        <v>76.224580017683493</v>
      </c>
      <c r="U14" s="2">
        <v>85.5421686746988</v>
      </c>
      <c r="V14" s="2">
        <v>82.938651156349493</v>
      </c>
      <c r="W14" s="2">
        <v>52.570747562296901</v>
      </c>
      <c r="X14" s="2">
        <v>85.5421686746988</v>
      </c>
      <c r="Y14" s="2">
        <v>85.5421686746988</v>
      </c>
      <c r="Z14" s="2">
        <v>51.263181263181302</v>
      </c>
      <c r="AA14" s="2">
        <v>85.5421686746988</v>
      </c>
      <c r="AB14" s="2">
        <v>79.975312505432996</v>
      </c>
      <c r="AC14" s="2">
        <v>7242.5497791423904</v>
      </c>
      <c r="AD14" s="2">
        <v>31.924454000000001</v>
      </c>
      <c r="AE14" s="2">
        <v>830085</v>
      </c>
      <c r="AF14" s="2">
        <v>828944</v>
      </c>
      <c r="AG14" s="2" t="s">
        <v>108</v>
      </c>
      <c r="AH14" s="2" t="s">
        <v>106</v>
      </c>
      <c r="AI14" s="2" t="s">
        <v>47</v>
      </c>
      <c r="AJ14" s="2" t="s">
        <v>48</v>
      </c>
      <c r="AK14" s="2" t="s">
        <v>49</v>
      </c>
      <c r="AL14" s="2" t="s">
        <v>50</v>
      </c>
    </row>
    <row r="15" spans="1:38" x14ac:dyDescent="0.2">
      <c r="A15" s="1">
        <v>0</v>
      </c>
      <c r="B15" s="2">
        <v>2.14</v>
      </c>
      <c r="C15" s="2" t="s">
        <v>44</v>
      </c>
      <c r="D15" s="2" t="s">
        <v>51</v>
      </c>
      <c r="E15" s="2">
        <v>85.101663585951897</v>
      </c>
      <c r="F15" s="2">
        <v>1612</v>
      </c>
      <c r="G15" s="2">
        <v>14.898336414048099</v>
      </c>
      <c r="H15" s="2" t="s">
        <v>52</v>
      </c>
      <c r="I15" s="2">
        <v>85.101663585951897</v>
      </c>
      <c r="J15" s="2" t="s">
        <v>52</v>
      </c>
      <c r="K15" s="2">
        <v>50</v>
      </c>
      <c r="L15" s="2">
        <v>85.101663585951897</v>
      </c>
      <c r="M15" s="2">
        <v>85.101663585951897</v>
      </c>
      <c r="N15" s="2">
        <v>45.975634112242901</v>
      </c>
      <c r="O15" s="2">
        <v>85.101663585951897</v>
      </c>
      <c r="P15" s="2">
        <v>78.252058947418206</v>
      </c>
      <c r="Q15" s="2">
        <v>85.123101100052395</v>
      </c>
      <c r="R15" s="2">
        <v>284</v>
      </c>
      <c r="S15" s="2">
        <v>14.8768988999476</v>
      </c>
      <c r="T15" s="2" t="s">
        <v>52</v>
      </c>
      <c r="U15" s="2">
        <v>85.123101100052395</v>
      </c>
      <c r="V15" s="2" t="s">
        <v>52</v>
      </c>
      <c r="W15" s="2">
        <v>50</v>
      </c>
      <c r="X15" s="2">
        <v>85.123101100052395</v>
      </c>
      <c r="Y15" s="2">
        <v>85.123101100052395</v>
      </c>
      <c r="Z15" s="2">
        <v>45.9818902093945</v>
      </c>
      <c r="AA15" s="2">
        <v>85.123101100052395</v>
      </c>
      <c r="AB15" s="2">
        <v>78.282421781315904</v>
      </c>
      <c r="AC15" s="2">
        <v>7871.6098242346598</v>
      </c>
      <c r="AD15" s="2">
        <v>34.127937000000003</v>
      </c>
      <c r="AE15" s="2">
        <v>689349</v>
      </c>
      <c r="AF15" s="2">
        <v>688208</v>
      </c>
      <c r="AG15" s="2" t="s">
        <v>109</v>
      </c>
      <c r="AH15" s="2" t="s">
        <v>106</v>
      </c>
      <c r="AI15" s="2" t="s">
        <v>47</v>
      </c>
      <c r="AJ15" s="2" t="s">
        <v>48</v>
      </c>
      <c r="AK15" s="2" t="s">
        <v>49</v>
      </c>
      <c r="AL15" s="2" t="s">
        <v>50</v>
      </c>
    </row>
    <row r="16" spans="1:38" x14ac:dyDescent="0.2">
      <c r="A16" s="1">
        <v>0</v>
      </c>
      <c r="B16" s="2">
        <v>2.15</v>
      </c>
      <c r="C16" s="2" t="s">
        <v>44</v>
      </c>
      <c r="D16" s="2" t="s">
        <v>58</v>
      </c>
      <c r="E16" s="2">
        <v>86.312384473197795</v>
      </c>
      <c r="F16" s="2">
        <v>1481</v>
      </c>
      <c r="G16" s="2">
        <v>13.687615526802199</v>
      </c>
      <c r="H16" s="2">
        <v>75.593552767590396</v>
      </c>
      <c r="I16" s="2">
        <v>86.312384473197795</v>
      </c>
      <c r="J16" s="2">
        <v>83.839475963437394</v>
      </c>
      <c r="K16" s="2">
        <v>58.4387052579158</v>
      </c>
      <c r="L16" s="2">
        <v>86.312384473197795</v>
      </c>
      <c r="M16" s="2">
        <v>86.312384473197795</v>
      </c>
      <c r="N16" s="2">
        <v>60.697657164475501</v>
      </c>
      <c r="O16" s="2">
        <v>86.312384473197795</v>
      </c>
      <c r="P16" s="2">
        <v>82.972353058814903</v>
      </c>
      <c r="Q16" s="2">
        <v>86.694604504976397</v>
      </c>
      <c r="R16" s="2">
        <v>254</v>
      </c>
      <c r="S16" s="2">
        <v>13.3053954950236</v>
      </c>
      <c r="T16" s="2">
        <v>76.717629619415305</v>
      </c>
      <c r="U16" s="2">
        <v>86.694604504976397</v>
      </c>
      <c r="V16" s="2">
        <v>84.509780651178502</v>
      </c>
      <c r="W16" s="2">
        <v>60.076164680390001</v>
      </c>
      <c r="X16" s="2">
        <v>86.694604504976397</v>
      </c>
      <c r="Y16" s="2">
        <v>86.694604504976397</v>
      </c>
      <c r="Z16" s="2">
        <v>62.884939224151097</v>
      </c>
      <c r="AA16" s="2">
        <v>86.694604504976397</v>
      </c>
      <c r="AB16" s="2">
        <v>83.767059002821298</v>
      </c>
      <c r="AC16" s="2">
        <v>21927.957943716901</v>
      </c>
      <c r="AD16" s="2">
        <v>21.029221</v>
      </c>
      <c r="AE16" s="2">
        <v>359622</v>
      </c>
      <c r="AF16" s="2">
        <v>174199</v>
      </c>
      <c r="AG16" s="2" t="s">
        <v>59</v>
      </c>
      <c r="AH16" s="2" t="s">
        <v>106</v>
      </c>
      <c r="AI16" s="2" t="s">
        <v>47</v>
      </c>
      <c r="AJ16" s="2" t="s">
        <v>48</v>
      </c>
      <c r="AK16" s="2" t="s">
        <v>49</v>
      </c>
      <c r="AL16" s="2" t="s">
        <v>50</v>
      </c>
    </row>
    <row r="17" spans="1:38" x14ac:dyDescent="0.2">
      <c r="A17" s="1">
        <v>0</v>
      </c>
      <c r="B17" s="2">
        <v>2.16</v>
      </c>
      <c r="C17" s="2" t="s">
        <v>44</v>
      </c>
      <c r="D17" s="2" t="s">
        <v>58</v>
      </c>
      <c r="E17" s="2">
        <v>85.905730129389994</v>
      </c>
      <c r="F17" s="2">
        <v>1525</v>
      </c>
      <c r="G17" s="2">
        <v>14.094269870610001</v>
      </c>
      <c r="H17" s="2">
        <v>72.448958391560495</v>
      </c>
      <c r="I17" s="2">
        <v>85.905730129389994</v>
      </c>
      <c r="J17" s="2">
        <v>83.059051615616198</v>
      </c>
      <c r="K17" s="2">
        <v>59.172100320575701</v>
      </c>
      <c r="L17" s="2">
        <v>85.905730129389994</v>
      </c>
      <c r="M17" s="2">
        <v>85.905730129389994</v>
      </c>
      <c r="N17" s="2">
        <v>61.496166942894099</v>
      </c>
      <c r="O17" s="2">
        <v>85.905730129389994</v>
      </c>
      <c r="P17" s="2">
        <v>83.018516561538704</v>
      </c>
      <c r="Q17" s="2">
        <v>86.170770036668401</v>
      </c>
      <c r="R17" s="2">
        <v>264</v>
      </c>
      <c r="S17" s="2">
        <v>13.829229963331599</v>
      </c>
      <c r="T17" s="2">
        <v>74.065705409999396</v>
      </c>
      <c r="U17" s="2">
        <v>86.170770036668401</v>
      </c>
      <c r="V17" s="2">
        <v>83.497949259135495</v>
      </c>
      <c r="W17" s="2">
        <v>58.896749729144098</v>
      </c>
      <c r="X17" s="2">
        <v>86.170770036668401</v>
      </c>
      <c r="Y17" s="2">
        <v>86.170770036668401</v>
      </c>
      <c r="Z17" s="2">
        <v>61.2421557770395</v>
      </c>
      <c r="AA17" s="2">
        <v>86.170770036668401</v>
      </c>
      <c r="AB17" s="2">
        <v>83.0770817875962</v>
      </c>
      <c r="AC17" s="2">
        <v>14408.377632658299</v>
      </c>
      <c r="AD17" s="2">
        <v>44.125030000000002</v>
      </c>
      <c r="AE17" s="2">
        <v>5979810</v>
      </c>
      <c r="AF17" s="2">
        <v>4368531</v>
      </c>
      <c r="AG17" s="2" t="s">
        <v>60</v>
      </c>
      <c r="AH17" s="2" t="s">
        <v>106</v>
      </c>
      <c r="AI17" s="2" t="s">
        <v>47</v>
      </c>
      <c r="AJ17" s="2" t="s">
        <v>48</v>
      </c>
      <c r="AK17" s="2" t="s">
        <v>49</v>
      </c>
      <c r="AL17" s="2" t="s">
        <v>50</v>
      </c>
    </row>
    <row r="18" spans="1:38" x14ac:dyDescent="0.2">
      <c r="A18" s="1">
        <v>0</v>
      </c>
      <c r="B18" s="2">
        <v>2.17</v>
      </c>
      <c r="C18" s="2" t="s">
        <v>44</v>
      </c>
      <c r="D18" s="2" t="s">
        <v>58</v>
      </c>
      <c r="E18" s="2">
        <v>71.377079482439896</v>
      </c>
      <c r="F18" s="2">
        <v>3097</v>
      </c>
      <c r="G18" s="2">
        <v>28.6229205175601</v>
      </c>
      <c r="H18" s="2">
        <v>63.371817970342903</v>
      </c>
      <c r="I18" s="2">
        <v>71.377079482439896</v>
      </c>
      <c r="J18" s="2">
        <v>85.645798353452506</v>
      </c>
      <c r="K18" s="2">
        <v>74.688115092497</v>
      </c>
      <c r="L18" s="2">
        <v>71.377079482439896</v>
      </c>
      <c r="M18" s="2">
        <v>71.377079482439896</v>
      </c>
      <c r="N18" s="2">
        <v>62.938415065830696</v>
      </c>
      <c r="O18" s="2">
        <v>71.377079482439896</v>
      </c>
      <c r="P18" s="2">
        <v>75.353695892591006</v>
      </c>
      <c r="Q18" s="2">
        <v>72.760607647983207</v>
      </c>
      <c r="R18" s="2">
        <v>520</v>
      </c>
      <c r="S18" s="2">
        <v>27.2393923520168</v>
      </c>
      <c r="T18" s="2">
        <v>64.359003783370696</v>
      </c>
      <c r="U18" s="2">
        <v>72.760607647983207</v>
      </c>
      <c r="V18" s="2">
        <v>86.321091078585994</v>
      </c>
      <c r="W18" s="2">
        <v>76.299783315276301</v>
      </c>
      <c r="X18" s="2">
        <v>72.760607647983207</v>
      </c>
      <c r="Y18" s="2">
        <v>72.760607647983207</v>
      </c>
      <c r="Z18" s="2">
        <v>64.355579557565093</v>
      </c>
      <c r="AA18" s="2">
        <v>72.760607647983207</v>
      </c>
      <c r="AB18" s="2">
        <v>76.514309513606904</v>
      </c>
      <c r="AC18" s="2">
        <v>17561.3144692571</v>
      </c>
      <c r="AD18" s="2">
        <v>18.297160999999999</v>
      </c>
      <c r="AE18" s="2">
        <v>335658</v>
      </c>
      <c r="AF18" s="2">
        <v>141739</v>
      </c>
      <c r="AG18" s="2" t="s">
        <v>61</v>
      </c>
      <c r="AH18" s="2" t="s">
        <v>106</v>
      </c>
      <c r="AI18" s="2" t="s">
        <v>47</v>
      </c>
      <c r="AJ18" s="2" t="s">
        <v>48</v>
      </c>
      <c r="AK18" s="2" t="s">
        <v>49</v>
      </c>
      <c r="AL18" s="2" t="s">
        <v>50</v>
      </c>
    </row>
    <row r="19" spans="1:38" x14ac:dyDescent="0.2">
      <c r="A19" s="1">
        <v>0</v>
      </c>
      <c r="B19" s="2">
        <v>2.1800000000000002</v>
      </c>
      <c r="C19" s="2" t="s">
        <v>44</v>
      </c>
      <c r="D19" s="2" t="s">
        <v>62</v>
      </c>
      <c r="E19" s="2">
        <v>85.203327171903894</v>
      </c>
      <c r="F19" s="2">
        <v>1601</v>
      </c>
      <c r="G19" s="2">
        <v>14.796672828096099</v>
      </c>
      <c r="H19" s="2">
        <v>69.131055724716006</v>
      </c>
      <c r="I19" s="2">
        <v>85.203327171903894</v>
      </c>
      <c r="J19" s="2">
        <v>81.973994280663703</v>
      </c>
      <c r="K19" s="2">
        <v>58.605891845045697</v>
      </c>
      <c r="L19" s="2">
        <v>85.203327171903894</v>
      </c>
      <c r="M19" s="2">
        <v>85.203327171903894</v>
      </c>
      <c r="N19" s="2">
        <v>60.587674973782697</v>
      </c>
      <c r="O19" s="2">
        <v>85.203327171903894</v>
      </c>
      <c r="P19" s="2">
        <v>82.454181124750804</v>
      </c>
      <c r="Q19" s="2">
        <v>85.227867993714</v>
      </c>
      <c r="R19" s="2">
        <v>282</v>
      </c>
      <c r="S19" s="2">
        <v>14.772132006286</v>
      </c>
      <c r="T19" s="2">
        <v>69.130346211940505</v>
      </c>
      <c r="U19" s="2">
        <v>85.227867993714</v>
      </c>
      <c r="V19" s="2">
        <v>81.941489659630903</v>
      </c>
      <c r="W19" s="2">
        <v>58.342903575297903</v>
      </c>
      <c r="X19" s="2">
        <v>85.227867993714</v>
      </c>
      <c r="Y19" s="2">
        <v>85.227867993714</v>
      </c>
      <c r="Z19" s="2">
        <v>60.273541965534903</v>
      </c>
      <c r="AA19" s="2">
        <v>85.227867993714</v>
      </c>
      <c r="AB19" s="2">
        <v>82.391024585355197</v>
      </c>
      <c r="AC19" s="2">
        <v>56043.8820488649</v>
      </c>
      <c r="AD19" s="2">
        <v>40.127955</v>
      </c>
      <c r="AE19" s="2">
        <v>10530</v>
      </c>
      <c r="AF19" s="2">
        <v>8924</v>
      </c>
      <c r="AG19" s="2" t="s">
        <v>63</v>
      </c>
      <c r="AH19" s="2" t="s">
        <v>106</v>
      </c>
      <c r="AI19" s="2" t="s">
        <v>47</v>
      </c>
      <c r="AJ19" s="2" t="s">
        <v>48</v>
      </c>
      <c r="AK19" s="2" t="s">
        <v>49</v>
      </c>
      <c r="AL19" s="2" t="s">
        <v>50</v>
      </c>
    </row>
    <row r="20" spans="1:38" x14ac:dyDescent="0.2">
      <c r="A20" s="1">
        <v>0</v>
      </c>
      <c r="B20" s="2">
        <v>2.19</v>
      </c>
      <c r="C20" s="2" t="s">
        <v>44</v>
      </c>
      <c r="D20" s="2" t="s">
        <v>62</v>
      </c>
      <c r="E20" s="2">
        <v>82.948243992606294</v>
      </c>
      <c r="F20" s="2">
        <v>1845</v>
      </c>
      <c r="G20" s="2">
        <v>17.051756007393699</v>
      </c>
      <c r="H20" s="2">
        <v>63.064858195259397</v>
      </c>
      <c r="I20" s="2">
        <v>82.948243992606294</v>
      </c>
      <c r="J20" s="2">
        <v>80.2630133440463</v>
      </c>
      <c r="K20" s="2">
        <v>58.790608231487099</v>
      </c>
      <c r="L20" s="2">
        <v>82.948243992606294</v>
      </c>
      <c r="M20" s="2">
        <v>82.948243992606294</v>
      </c>
      <c r="N20" s="2">
        <v>60.084321817673498</v>
      </c>
      <c r="O20" s="2">
        <v>82.948243992606294</v>
      </c>
      <c r="P20" s="2">
        <v>81.2925710350125</v>
      </c>
      <c r="Q20" s="2">
        <v>84.180199057097994</v>
      </c>
      <c r="R20" s="2">
        <v>302</v>
      </c>
      <c r="S20" s="2">
        <v>15.819800942902001</v>
      </c>
      <c r="T20" s="2">
        <v>66.041104902081301</v>
      </c>
      <c r="U20" s="2">
        <v>84.180199057097994</v>
      </c>
      <c r="V20" s="2">
        <v>81.310737834835393</v>
      </c>
      <c r="W20" s="2">
        <v>59.616251354279498</v>
      </c>
      <c r="X20" s="2">
        <v>84.180199057097994</v>
      </c>
      <c r="Y20" s="2">
        <v>84.180199057097994</v>
      </c>
      <c r="Z20" s="2">
        <v>61.364355257232297</v>
      </c>
      <c r="AA20" s="2">
        <v>84.180199057097994</v>
      </c>
      <c r="AB20" s="2">
        <v>82.220556031342596</v>
      </c>
      <c r="AC20" s="2">
        <v>251668.876328705</v>
      </c>
      <c r="AD20" s="2">
        <v>57.323014999999998</v>
      </c>
      <c r="AE20" s="2">
        <v>13530</v>
      </c>
      <c r="AF20" s="2">
        <v>11924</v>
      </c>
      <c r="AG20" s="2" t="s">
        <v>64</v>
      </c>
      <c r="AH20" s="2" t="s">
        <v>106</v>
      </c>
      <c r="AI20" s="2" t="s">
        <v>47</v>
      </c>
      <c r="AJ20" s="2" t="s">
        <v>48</v>
      </c>
      <c r="AK20" s="2" t="s">
        <v>49</v>
      </c>
      <c r="AL20" s="2" t="s">
        <v>50</v>
      </c>
    </row>
    <row r="21" spans="1:38" x14ac:dyDescent="0.2">
      <c r="A21" s="1">
        <v>0</v>
      </c>
      <c r="B21" s="2">
        <v>2.2000000000000002</v>
      </c>
      <c r="C21" s="2" t="s">
        <v>44</v>
      </c>
      <c r="D21" s="2" t="s">
        <v>45</v>
      </c>
      <c r="E21" s="2">
        <v>85.471349353049902</v>
      </c>
      <c r="F21" s="2">
        <v>1572</v>
      </c>
      <c r="G21" s="2">
        <v>14.5286506469501</v>
      </c>
      <c r="H21" s="2">
        <v>70.8575029551521</v>
      </c>
      <c r="I21" s="2">
        <v>85.471349353049902</v>
      </c>
      <c r="J21" s="2">
        <v>81.918361587917303</v>
      </c>
      <c r="K21" s="2">
        <v>55.744061157306298</v>
      </c>
      <c r="L21" s="2">
        <v>85.471349353049902</v>
      </c>
      <c r="M21" s="2">
        <v>85.471349353049902</v>
      </c>
      <c r="N21" s="2">
        <v>56.775591209107603</v>
      </c>
      <c r="O21" s="2">
        <v>85.471349353049902</v>
      </c>
      <c r="P21" s="2">
        <v>81.500293893021606</v>
      </c>
      <c r="Q21" s="2">
        <v>85.908852802514403</v>
      </c>
      <c r="R21" s="2">
        <v>269</v>
      </c>
      <c r="S21" s="2">
        <v>14.091147197485601</v>
      </c>
      <c r="T21" s="2">
        <v>74.883483005570099</v>
      </c>
      <c r="U21" s="2">
        <v>85.908852802514403</v>
      </c>
      <c r="V21" s="2">
        <v>83.120263449972498</v>
      </c>
      <c r="W21" s="2">
        <v>55.691874322860201</v>
      </c>
      <c r="X21" s="2">
        <v>85.908852802514403</v>
      </c>
      <c r="Y21" s="2">
        <v>85.908852802514403</v>
      </c>
      <c r="Z21" s="2">
        <v>56.688907500229803</v>
      </c>
      <c r="AA21" s="2">
        <v>85.908852802514403</v>
      </c>
      <c r="AB21" s="2">
        <v>81.678669394594394</v>
      </c>
      <c r="AC21" s="2">
        <v>570915.99831152405</v>
      </c>
      <c r="AD21" s="2">
        <v>2.8168929999999999</v>
      </c>
      <c r="AE21" s="2">
        <v>10625</v>
      </c>
      <c r="AF21" s="2">
        <v>7016</v>
      </c>
      <c r="AG21" s="2" t="s">
        <v>65</v>
      </c>
      <c r="AH21" s="2" t="s">
        <v>106</v>
      </c>
      <c r="AI21" s="2" t="s">
        <v>47</v>
      </c>
      <c r="AJ21" s="2" t="s">
        <v>48</v>
      </c>
      <c r="AK21" s="2" t="s">
        <v>49</v>
      </c>
      <c r="AL21" s="2" t="s">
        <v>50</v>
      </c>
    </row>
    <row r="22" spans="1:38" x14ac:dyDescent="0.2">
      <c r="A22" s="1">
        <v>0</v>
      </c>
      <c r="B22" s="2">
        <v>2.2000000000000002</v>
      </c>
      <c r="C22" s="2" t="s">
        <v>44</v>
      </c>
      <c r="D22" s="2" t="s">
        <v>62</v>
      </c>
      <c r="E22" s="2">
        <v>78.243992606284706</v>
      </c>
      <c r="F22" s="2">
        <v>2354</v>
      </c>
      <c r="G22" s="2">
        <v>21.756007393715301</v>
      </c>
      <c r="H22" s="2">
        <v>59.030142080496198</v>
      </c>
      <c r="I22" s="2">
        <v>78.243992606284706</v>
      </c>
      <c r="J22" s="2">
        <v>79.494024384743099</v>
      </c>
      <c r="K22" s="2">
        <v>60.069502083634298</v>
      </c>
      <c r="L22" s="2">
        <v>78.243992606284706</v>
      </c>
      <c r="M22" s="2">
        <v>78.243992606284607</v>
      </c>
      <c r="N22" s="2">
        <v>59.470563763829801</v>
      </c>
      <c r="O22" s="2">
        <v>78.243992606284706</v>
      </c>
      <c r="P22" s="2">
        <v>78.835442292793303</v>
      </c>
      <c r="Q22" s="2">
        <v>77.160817181770597</v>
      </c>
      <c r="R22" s="2">
        <v>436</v>
      </c>
      <c r="S22" s="2">
        <v>22.8391828182294</v>
      </c>
      <c r="T22" s="2">
        <v>58.209566571978399</v>
      </c>
      <c r="U22" s="2">
        <v>77.160817181770597</v>
      </c>
      <c r="V22" s="2">
        <v>79.229936355048096</v>
      </c>
      <c r="W22" s="2">
        <v>59.706500541711797</v>
      </c>
      <c r="X22" s="2">
        <v>77.160817181770597</v>
      </c>
      <c r="Y22" s="2">
        <v>77.160817181770597</v>
      </c>
      <c r="Z22" s="2">
        <v>58.768408287494303</v>
      </c>
      <c r="AA22" s="2">
        <v>77.160817181770597</v>
      </c>
      <c r="AB22" s="2">
        <v>78.112894818650702</v>
      </c>
      <c r="AC22" s="2">
        <v>222382.077895386</v>
      </c>
      <c r="AD22" s="2">
        <v>95.759724000000006</v>
      </c>
      <c r="AE22" s="2">
        <v>28530</v>
      </c>
      <c r="AF22" s="2">
        <v>26924</v>
      </c>
      <c r="AG22" s="2" t="s">
        <v>66</v>
      </c>
      <c r="AH22" s="2" t="s">
        <v>106</v>
      </c>
      <c r="AI22" s="2" t="s">
        <v>47</v>
      </c>
      <c r="AJ22" s="2" t="s">
        <v>48</v>
      </c>
      <c r="AK22" s="2" t="s">
        <v>49</v>
      </c>
      <c r="AL22" s="2" t="s">
        <v>50</v>
      </c>
    </row>
    <row r="23" spans="1:38" x14ac:dyDescent="0.2">
      <c r="A23" s="1">
        <v>0</v>
      </c>
      <c r="B23" s="2">
        <v>2.21</v>
      </c>
      <c r="C23" s="2" t="s">
        <v>44</v>
      </c>
      <c r="D23" s="2" t="s">
        <v>62</v>
      </c>
      <c r="E23" s="2">
        <v>84.454713493530505</v>
      </c>
      <c r="F23" s="2">
        <v>1682</v>
      </c>
      <c r="G23" s="2">
        <v>15.5452865064695</v>
      </c>
      <c r="H23" s="2">
        <v>66.486950181986302</v>
      </c>
      <c r="I23" s="2">
        <v>84.454713493530505</v>
      </c>
      <c r="J23" s="2">
        <v>81.219585125260195</v>
      </c>
      <c r="K23" s="2">
        <v>58.677803097101901</v>
      </c>
      <c r="L23" s="2">
        <v>84.454713493530505</v>
      </c>
      <c r="M23" s="2">
        <v>84.454713493530505</v>
      </c>
      <c r="N23" s="2">
        <v>60.442884312340396</v>
      </c>
      <c r="O23" s="2">
        <v>84.454713493530505</v>
      </c>
      <c r="P23" s="2">
        <v>82.079165980231295</v>
      </c>
      <c r="Q23" s="2">
        <v>85.123101100052395</v>
      </c>
      <c r="R23" s="2">
        <v>284</v>
      </c>
      <c r="S23" s="2">
        <v>14.8768988999476</v>
      </c>
      <c r="T23" s="2">
        <v>68.8025799214806</v>
      </c>
      <c r="U23" s="2">
        <v>85.123101100052395</v>
      </c>
      <c r="V23" s="2">
        <v>82.010678231960199</v>
      </c>
      <c r="W23" s="2">
        <v>59.153087757313102</v>
      </c>
      <c r="X23" s="2">
        <v>85.123101100052395</v>
      </c>
      <c r="Y23" s="2">
        <v>85.123101100052395</v>
      </c>
      <c r="Z23" s="2">
        <v>61.199186991869901</v>
      </c>
      <c r="AA23" s="2">
        <v>85.123101100052395</v>
      </c>
      <c r="AB23" s="2">
        <v>82.601434369503494</v>
      </c>
      <c r="AC23" s="2">
        <v>229753.25943857001</v>
      </c>
      <c r="AD23" s="2">
        <v>54.462150999999999</v>
      </c>
      <c r="AE23" s="2">
        <v>12302</v>
      </c>
      <c r="AF23" s="2">
        <v>10172</v>
      </c>
      <c r="AG23" s="2" t="s">
        <v>67</v>
      </c>
      <c r="AH23" s="2" t="s">
        <v>106</v>
      </c>
      <c r="AI23" s="2" t="s">
        <v>47</v>
      </c>
      <c r="AJ23" s="2" t="s">
        <v>48</v>
      </c>
      <c r="AK23" s="2" t="s">
        <v>49</v>
      </c>
      <c r="AL23" s="2" t="s">
        <v>50</v>
      </c>
    </row>
    <row r="24" spans="1:38" x14ac:dyDescent="0.2">
      <c r="A24" s="1">
        <v>0</v>
      </c>
      <c r="B24" s="2">
        <v>2.2200000000000002</v>
      </c>
      <c r="C24" s="2" t="s">
        <v>44</v>
      </c>
      <c r="D24" s="2" t="s">
        <v>62</v>
      </c>
      <c r="E24" s="2">
        <v>84.306839186691306</v>
      </c>
      <c r="F24" s="2">
        <v>1698</v>
      </c>
      <c r="G24" s="2">
        <v>15.693160813308699</v>
      </c>
      <c r="H24" s="2">
        <v>66.060467716713404</v>
      </c>
      <c r="I24" s="2">
        <v>84.306839186691306</v>
      </c>
      <c r="J24" s="2">
        <v>81.099469201734294</v>
      </c>
      <c r="K24" s="2">
        <v>58.693271359676402</v>
      </c>
      <c r="L24" s="2">
        <v>84.306839186691306</v>
      </c>
      <c r="M24" s="2">
        <v>84.306839186691306</v>
      </c>
      <c r="N24" s="2">
        <v>60.414262273083501</v>
      </c>
      <c r="O24" s="2">
        <v>84.306839186691306</v>
      </c>
      <c r="P24" s="2">
        <v>82.004556614716293</v>
      </c>
      <c r="Q24" s="2">
        <v>85.489785227867998</v>
      </c>
      <c r="R24" s="2">
        <v>277</v>
      </c>
      <c r="S24" s="2">
        <v>14.510214772132001</v>
      </c>
      <c r="T24" s="2">
        <v>70.3720537983002</v>
      </c>
      <c r="U24" s="2">
        <v>85.489785227867998</v>
      </c>
      <c r="V24" s="2">
        <v>82.2483735681013</v>
      </c>
      <c r="W24" s="2">
        <v>58.060888407367301</v>
      </c>
      <c r="X24" s="2">
        <v>85.489785227867998</v>
      </c>
      <c r="Y24" s="2">
        <v>85.489785227867998</v>
      </c>
      <c r="Z24" s="2">
        <v>59.991601756821701</v>
      </c>
      <c r="AA24" s="2">
        <v>85.489785227867998</v>
      </c>
      <c r="AB24" s="2">
        <v>82.427995480360494</v>
      </c>
      <c r="AC24" s="2">
        <v>232713.19496720101</v>
      </c>
      <c r="AD24" s="2">
        <v>69.776713999999998</v>
      </c>
      <c r="AE24" s="2">
        <v>14074</v>
      </c>
      <c r="AF24" s="2">
        <v>11420</v>
      </c>
      <c r="AG24" s="2" t="s">
        <v>68</v>
      </c>
      <c r="AH24" s="2" t="s">
        <v>106</v>
      </c>
      <c r="AI24" s="2" t="s">
        <v>47</v>
      </c>
      <c r="AJ24" s="2" t="s">
        <v>48</v>
      </c>
      <c r="AK24" s="2" t="s">
        <v>49</v>
      </c>
      <c r="AL24" s="2" t="s">
        <v>50</v>
      </c>
    </row>
    <row r="25" spans="1:38" x14ac:dyDescent="0.2">
      <c r="A25" s="1">
        <v>0</v>
      </c>
      <c r="B25" s="2">
        <v>2.23</v>
      </c>
      <c r="C25" s="2" t="s">
        <v>44</v>
      </c>
      <c r="D25" s="2" t="s">
        <v>69</v>
      </c>
      <c r="E25" s="2">
        <v>85.120147874306795</v>
      </c>
      <c r="F25" s="2">
        <v>1610</v>
      </c>
      <c r="G25" s="2">
        <v>14.879852125693199</v>
      </c>
      <c r="H25" s="2">
        <v>92.558698465520393</v>
      </c>
      <c r="I25" s="2">
        <v>85.120147874306795</v>
      </c>
      <c r="J25" s="2">
        <v>87.334657203421798</v>
      </c>
      <c r="K25" s="2">
        <v>50.062034739454099</v>
      </c>
      <c r="L25" s="2">
        <v>85.120147874306795</v>
      </c>
      <c r="M25" s="2">
        <v>85.120147874306795</v>
      </c>
      <c r="N25" s="2">
        <v>46.104141443880103</v>
      </c>
      <c r="O25" s="2">
        <v>85.120147874306795</v>
      </c>
      <c r="P25" s="2">
        <v>78.296796760578104</v>
      </c>
      <c r="Q25" s="2">
        <v>85.175484546883197</v>
      </c>
      <c r="R25" s="2">
        <v>283</v>
      </c>
      <c r="S25" s="2">
        <v>14.824515453116801</v>
      </c>
      <c r="T25" s="2">
        <v>92.583857442348005</v>
      </c>
      <c r="U25" s="2">
        <v>85.175484546883197</v>
      </c>
      <c r="V25" s="2">
        <v>87.374298945851805</v>
      </c>
      <c r="W25" s="2">
        <v>50.176056338028197</v>
      </c>
      <c r="X25" s="2">
        <v>85.175484546883197</v>
      </c>
      <c r="Y25" s="2">
        <v>85.175484546883197</v>
      </c>
      <c r="Z25" s="2">
        <v>46.3457823727164</v>
      </c>
      <c r="AA25" s="2">
        <v>85.175484546883197</v>
      </c>
      <c r="AB25" s="2">
        <v>78.408978564562204</v>
      </c>
      <c r="AC25" s="2">
        <v>57536.665000478599</v>
      </c>
      <c r="AD25" s="2">
        <v>65.589530999999994</v>
      </c>
      <c r="AE25" s="2">
        <v>19260</v>
      </c>
      <c r="AF25" s="2">
        <v>27190</v>
      </c>
      <c r="AG25" s="2" t="s">
        <v>70</v>
      </c>
      <c r="AH25" s="2" t="s">
        <v>106</v>
      </c>
      <c r="AI25" s="2" t="s">
        <v>47</v>
      </c>
      <c r="AJ25" s="2" t="s">
        <v>48</v>
      </c>
      <c r="AK25" s="2" t="s">
        <v>49</v>
      </c>
      <c r="AL25" s="2" t="s">
        <v>50</v>
      </c>
    </row>
    <row r="26" spans="1:38" x14ac:dyDescent="0.2">
      <c r="A26" s="1">
        <v>0</v>
      </c>
      <c r="B26" s="2">
        <v>2.2400000000000002</v>
      </c>
      <c r="C26" s="2" t="s">
        <v>44</v>
      </c>
      <c r="D26" s="2" t="s">
        <v>69</v>
      </c>
      <c r="E26" s="2">
        <v>85.443622920517598</v>
      </c>
      <c r="F26" s="2">
        <v>1575</v>
      </c>
      <c r="G26" s="2">
        <v>14.556377079482401</v>
      </c>
      <c r="H26" s="2">
        <v>71.592794646191905</v>
      </c>
      <c r="I26" s="2">
        <v>85.443622920517598</v>
      </c>
      <c r="J26" s="2">
        <v>81.813398062917898</v>
      </c>
      <c r="K26" s="2">
        <v>54.039008586772098</v>
      </c>
      <c r="L26" s="2">
        <v>85.443622920517598</v>
      </c>
      <c r="M26" s="2">
        <v>85.443622920517598</v>
      </c>
      <c r="N26" s="2">
        <v>54.015684290412302</v>
      </c>
      <c r="O26" s="2">
        <v>85.443622920517598</v>
      </c>
      <c r="P26" s="2">
        <v>80.703959509448595</v>
      </c>
      <c r="Q26" s="2">
        <v>85.123101100052395</v>
      </c>
      <c r="R26" s="2">
        <v>284</v>
      </c>
      <c r="S26" s="2">
        <v>14.8768988999476</v>
      </c>
      <c r="T26" s="2">
        <v>68.053311793214903</v>
      </c>
      <c r="U26" s="2">
        <v>85.123101100052395</v>
      </c>
      <c r="V26" s="2">
        <v>80.735077699291907</v>
      </c>
      <c r="W26" s="2">
        <v>53.777464788732402</v>
      </c>
      <c r="X26" s="2">
        <v>85.123101100052395</v>
      </c>
      <c r="Y26" s="2">
        <v>85.123101100052395</v>
      </c>
      <c r="Z26" s="2">
        <v>53.6599792128224</v>
      </c>
      <c r="AA26" s="2">
        <v>85.123101100052395</v>
      </c>
      <c r="AB26" s="2">
        <v>80.482640656417701</v>
      </c>
      <c r="AC26" s="2">
        <v>58314.065977892402</v>
      </c>
      <c r="AD26" s="2">
        <v>51.361924000000002</v>
      </c>
      <c r="AE26" s="2">
        <v>19294</v>
      </c>
      <c r="AF26" s="2">
        <v>27190</v>
      </c>
      <c r="AG26" s="2" t="s">
        <v>71</v>
      </c>
      <c r="AH26" s="2" t="s">
        <v>106</v>
      </c>
      <c r="AI26" s="2" t="s">
        <v>47</v>
      </c>
      <c r="AJ26" s="2" t="s">
        <v>48</v>
      </c>
      <c r="AK26" s="2" t="s">
        <v>49</v>
      </c>
      <c r="AL26" s="2" t="s">
        <v>50</v>
      </c>
    </row>
    <row r="27" spans="1:38" x14ac:dyDescent="0.2">
      <c r="A27" s="1">
        <v>0</v>
      </c>
      <c r="B27" s="2">
        <v>2.2999999999999998</v>
      </c>
      <c r="C27" s="2" t="s">
        <v>44</v>
      </c>
      <c r="D27" s="2" t="s">
        <v>45</v>
      </c>
      <c r="E27" s="2">
        <v>85.221811460258806</v>
      </c>
      <c r="F27" s="2">
        <v>1599</v>
      </c>
      <c r="G27" s="2">
        <v>14.778188539741199</v>
      </c>
      <c r="H27" s="2">
        <v>75.977800451411397</v>
      </c>
      <c r="I27" s="2">
        <v>85.221811460258806</v>
      </c>
      <c r="J27" s="2">
        <v>82.514526165729507</v>
      </c>
      <c r="K27" s="2">
        <v>50.735860822286398</v>
      </c>
      <c r="L27" s="2">
        <v>85.221811460258806</v>
      </c>
      <c r="M27" s="2">
        <v>85.221811460258806</v>
      </c>
      <c r="N27" s="2">
        <v>47.575103314697103</v>
      </c>
      <c r="O27" s="2">
        <v>85.221811460258806</v>
      </c>
      <c r="P27" s="2">
        <v>78.763280332222095</v>
      </c>
      <c r="Q27" s="2">
        <v>85.489785227867998</v>
      </c>
      <c r="R27" s="2">
        <v>277</v>
      </c>
      <c r="S27" s="2">
        <v>14.510214772132001</v>
      </c>
      <c r="T27" s="2">
        <v>92.718191377497405</v>
      </c>
      <c r="U27" s="2">
        <v>85.489785227867998</v>
      </c>
      <c r="V27" s="2">
        <v>87.602997368709495</v>
      </c>
      <c r="W27" s="2">
        <v>51.232394366197198</v>
      </c>
      <c r="X27" s="2">
        <v>85.489785227867998</v>
      </c>
      <c r="Y27" s="2">
        <v>85.489785227867998</v>
      </c>
      <c r="Z27" s="2">
        <v>48.478648267610602</v>
      </c>
      <c r="AA27" s="2">
        <v>85.489785227867998</v>
      </c>
      <c r="AB27" s="2">
        <v>79.153515179665703</v>
      </c>
      <c r="AC27" s="2">
        <v>498250.138146988</v>
      </c>
      <c r="AD27" s="2">
        <v>0.89746599999999999</v>
      </c>
      <c r="AE27" s="2">
        <v>7481</v>
      </c>
      <c r="AF27" s="2">
        <v>6088</v>
      </c>
      <c r="AG27" s="2" t="s">
        <v>72</v>
      </c>
      <c r="AH27" s="2" t="s">
        <v>106</v>
      </c>
      <c r="AI27" s="2" t="s">
        <v>47</v>
      </c>
      <c r="AJ27" s="2" t="s">
        <v>48</v>
      </c>
      <c r="AK27" s="2" t="s">
        <v>49</v>
      </c>
      <c r="AL27" s="2" t="s">
        <v>50</v>
      </c>
    </row>
    <row r="28" spans="1:38" x14ac:dyDescent="0.2">
      <c r="A28" s="1">
        <v>0</v>
      </c>
      <c r="B28" s="2">
        <v>2.4</v>
      </c>
      <c r="C28" s="2" t="s">
        <v>44</v>
      </c>
      <c r="D28" s="2" t="s">
        <v>73</v>
      </c>
      <c r="E28" s="2">
        <v>86.072088724584106</v>
      </c>
      <c r="F28" s="2">
        <v>1507</v>
      </c>
      <c r="G28" s="2">
        <v>13.9279112754159</v>
      </c>
      <c r="H28" s="2">
        <v>73.394451293619795</v>
      </c>
      <c r="I28" s="2">
        <v>86.072088724584106</v>
      </c>
      <c r="J28" s="2">
        <v>83.3406745869068</v>
      </c>
      <c r="K28" s="2">
        <v>59.193079488544903</v>
      </c>
      <c r="L28" s="2">
        <v>86.072088724584106</v>
      </c>
      <c r="M28" s="2">
        <v>86.072088724584106</v>
      </c>
      <c r="N28" s="2">
        <v>61.579383487952498</v>
      </c>
      <c r="O28" s="2">
        <v>86.072088724584106</v>
      </c>
      <c r="P28" s="2">
        <v>83.115046062029805</v>
      </c>
      <c r="Q28" s="2">
        <v>86.537454164484004</v>
      </c>
      <c r="R28" s="2">
        <v>257</v>
      </c>
      <c r="S28" s="2">
        <v>13.462545835516</v>
      </c>
      <c r="T28" s="2">
        <v>75.713209442491205</v>
      </c>
      <c r="U28" s="2">
        <v>86.537454164484004</v>
      </c>
      <c r="V28" s="2">
        <v>84.1967349668585</v>
      </c>
      <c r="W28" s="2">
        <v>59.983856988082302</v>
      </c>
      <c r="X28" s="2">
        <v>86.537454164484004</v>
      </c>
      <c r="Y28" s="2">
        <v>86.537454164484004</v>
      </c>
      <c r="Z28" s="2">
        <v>62.708183687352999</v>
      </c>
      <c r="AA28" s="2">
        <v>86.537454164484004</v>
      </c>
      <c r="AB28" s="2">
        <v>83.648584545696806</v>
      </c>
      <c r="AC28" s="2">
        <v>190111.39614154701</v>
      </c>
      <c r="AD28" s="2">
        <v>2.4687480000000002</v>
      </c>
      <c r="AE28" s="2">
        <v>3808698</v>
      </c>
      <c r="AF28" s="2">
        <v>12647</v>
      </c>
      <c r="AG28" s="2" t="s">
        <v>47</v>
      </c>
      <c r="AH28" s="2" t="s">
        <v>106</v>
      </c>
      <c r="AI28" s="2" t="s">
        <v>47</v>
      </c>
      <c r="AJ28" s="2" t="s">
        <v>48</v>
      </c>
      <c r="AK28" s="2" t="s">
        <v>49</v>
      </c>
      <c r="AL28" s="2" t="s">
        <v>50</v>
      </c>
    </row>
    <row r="29" spans="1:38" x14ac:dyDescent="0.2">
      <c r="A29" s="1">
        <v>0</v>
      </c>
      <c r="B29" s="2">
        <v>2.5</v>
      </c>
      <c r="C29" s="2" t="s">
        <v>44</v>
      </c>
      <c r="D29" s="2" t="s">
        <v>74</v>
      </c>
      <c r="E29" s="2">
        <v>85.101663585951897</v>
      </c>
      <c r="F29" s="2">
        <v>1612</v>
      </c>
      <c r="G29" s="2">
        <v>14.898336414048099</v>
      </c>
      <c r="H29" s="2" t="s">
        <v>52</v>
      </c>
      <c r="I29" s="2">
        <v>85.101663585951897</v>
      </c>
      <c r="J29" s="2" t="s">
        <v>52</v>
      </c>
      <c r="K29" s="2">
        <v>50</v>
      </c>
      <c r="L29" s="2">
        <v>85.101663585951897</v>
      </c>
      <c r="M29" s="2">
        <v>85.101663585951897</v>
      </c>
      <c r="N29" s="2">
        <v>45.975634112242901</v>
      </c>
      <c r="O29" s="2">
        <v>85.101663585951897</v>
      </c>
      <c r="P29" s="2">
        <v>78.252058947418206</v>
      </c>
      <c r="Q29" s="2">
        <v>85.123101100052395</v>
      </c>
      <c r="R29" s="2">
        <v>284</v>
      </c>
      <c r="S29" s="2">
        <v>14.8768988999476</v>
      </c>
      <c r="T29" s="2" t="s">
        <v>52</v>
      </c>
      <c r="U29" s="2">
        <v>85.123101100052395</v>
      </c>
      <c r="V29" s="2" t="s">
        <v>52</v>
      </c>
      <c r="W29" s="2">
        <v>50</v>
      </c>
      <c r="X29" s="2">
        <v>85.123101100052395</v>
      </c>
      <c r="Y29" s="2">
        <v>85.123101100052395</v>
      </c>
      <c r="Z29" s="2">
        <v>45.9818902093945</v>
      </c>
      <c r="AA29" s="2">
        <v>85.123101100052395</v>
      </c>
      <c r="AB29" s="2">
        <v>78.282421781315904</v>
      </c>
      <c r="AC29" s="2">
        <v>486139.19216426299</v>
      </c>
      <c r="AD29" s="2">
        <v>1.1099410000000001</v>
      </c>
      <c r="AE29" s="2">
        <v>13358</v>
      </c>
      <c r="AF29" s="2">
        <v>5998</v>
      </c>
      <c r="AG29" s="2" t="s">
        <v>75</v>
      </c>
      <c r="AH29" s="2" t="s">
        <v>106</v>
      </c>
      <c r="AI29" s="2" t="s">
        <v>47</v>
      </c>
      <c r="AJ29" s="2" t="s">
        <v>48</v>
      </c>
      <c r="AK29" s="2" t="s">
        <v>49</v>
      </c>
      <c r="AL29" s="2" t="s">
        <v>50</v>
      </c>
    </row>
    <row r="30" spans="1:38" x14ac:dyDescent="0.2">
      <c r="A30" s="1">
        <v>0</v>
      </c>
      <c r="B30" s="2">
        <v>2.6</v>
      </c>
      <c r="C30" s="2" t="s">
        <v>44</v>
      </c>
      <c r="D30" s="2" t="s">
        <v>76</v>
      </c>
      <c r="E30" s="2">
        <v>85.101663585951897</v>
      </c>
      <c r="F30" s="2">
        <v>1612</v>
      </c>
      <c r="G30" s="2">
        <v>14.898336414048099</v>
      </c>
      <c r="H30" s="2" t="s">
        <v>52</v>
      </c>
      <c r="I30" s="2">
        <v>85.101663585951897</v>
      </c>
      <c r="J30" s="2" t="s">
        <v>52</v>
      </c>
      <c r="K30" s="2">
        <v>50</v>
      </c>
      <c r="L30" s="2">
        <v>85.101663585951897</v>
      </c>
      <c r="M30" s="2">
        <v>85.101663585951897</v>
      </c>
      <c r="N30" s="2">
        <v>45.975634112242901</v>
      </c>
      <c r="O30" s="2">
        <v>85.101663585951897</v>
      </c>
      <c r="P30" s="2">
        <v>78.252058947418206</v>
      </c>
      <c r="Q30" s="2">
        <v>85.123101100052395</v>
      </c>
      <c r="R30" s="2">
        <v>284</v>
      </c>
      <c r="S30" s="2">
        <v>14.8768988999476</v>
      </c>
      <c r="T30" s="2" t="s">
        <v>52</v>
      </c>
      <c r="U30" s="2">
        <v>85.123101100052395</v>
      </c>
      <c r="V30" s="2" t="s">
        <v>52</v>
      </c>
      <c r="W30" s="2">
        <v>50</v>
      </c>
      <c r="X30" s="2">
        <v>85.123101100052395</v>
      </c>
      <c r="Y30" s="2">
        <v>85.123101100052395</v>
      </c>
      <c r="Z30" s="2">
        <v>45.9818902093945</v>
      </c>
      <c r="AA30" s="2">
        <v>85.123101100052395</v>
      </c>
      <c r="AB30" s="2">
        <v>78.282421781315904</v>
      </c>
      <c r="AC30" s="2">
        <v>419347.33741570398</v>
      </c>
      <c r="AD30" s="2">
        <v>0.81626200000000004</v>
      </c>
      <c r="AE30" s="2">
        <v>13316</v>
      </c>
      <c r="AF30" s="2">
        <v>5998</v>
      </c>
      <c r="AG30" s="2" t="s">
        <v>77</v>
      </c>
      <c r="AH30" s="2" t="s">
        <v>106</v>
      </c>
      <c r="AI30" s="2" t="s">
        <v>47</v>
      </c>
      <c r="AJ30" s="2" t="s">
        <v>48</v>
      </c>
      <c r="AK30" s="2" t="s">
        <v>49</v>
      </c>
      <c r="AL30" s="2" t="s">
        <v>50</v>
      </c>
    </row>
    <row r="31" spans="1:38" x14ac:dyDescent="0.2">
      <c r="A31" s="1">
        <v>0</v>
      </c>
      <c r="B31" s="2">
        <v>2.7</v>
      </c>
      <c r="C31" s="2" t="s">
        <v>44</v>
      </c>
      <c r="D31" s="2" t="s">
        <v>78</v>
      </c>
      <c r="E31" s="2">
        <v>83.622920517560104</v>
      </c>
      <c r="F31" s="2">
        <v>1772</v>
      </c>
      <c r="G31" s="2">
        <v>16.3770794824399</v>
      </c>
      <c r="H31" s="2">
        <v>64.674766474636002</v>
      </c>
      <c r="I31" s="2">
        <v>83.622920517560104</v>
      </c>
      <c r="J31" s="2">
        <v>80.839431581335404</v>
      </c>
      <c r="K31" s="2">
        <v>59.340526524567103</v>
      </c>
      <c r="L31" s="2">
        <v>83.622920517560104</v>
      </c>
      <c r="M31" s="2">
        <v>83.622920517560104</v>
      </c>
      <c r="N31" s="2">
        <v>60.879250926853601</v>
      </c>
      <c r="O31" s="2">
        <v>83.622920517560104</v>
      </c>
      <c r="P31" s="2">
        <v>81.819967800914995</v>
      </c>
      <c r="Q31" s="2">
        <v>83.918281822943996</v>
      </c>
      <c r="R31" s="2">
        <v>307</v>
      </c>
      <c r="S31" s="2">
        <v>16.081718177056</v>
      </c>
      <c r="T31" s="2">
        <v>66.481672913333995</v>
      </c>
      <c r="U31" s="2">
        <v>83.918281822943996</v>
      </c>
      <c r="V31" s="2">
        <v>82.038886850650698</v>
      </c>
      <c r="W31" s="2">
        <v>62.368147345612101</v>
      </c>
      <c r="X31" s="2">
        <v>83.918281822943996</v>
      </c>
      <c r="Y31" s="2">
        <v>83.918281822943896</v>
      </c>
      <c r="Z31" s="2">
        <v>63.872267055111102</v>
      </c>
      <c r="AA31" s="2">
        <v>83.918281822943996</v>
      </c>
      <c r="AB31" s="2">
        <v>82.776420222244596</v>
      </c>
      <c r="AC31" s="2">
        <v>272304.01409336901</v>
      </c>
      <c r="AD31" s="2">
        <v>1.9412450000000001</v>
      </c>
      <c r="AE31" s="2">
        <v>13978</v>
      </c>
      <c r="AF31" s="2">
        <v>12885</v>
      </c>
      <c r="AG31" s="2" t="s">
        <v>79</v>
      </c>
      <c r="AH31" s="2" t="s">
        <v>106</v>
      </c>
      <c r="AI31" s="2" t="s">
        <v>47</v>
      </c>
      <c r="AJ31" s="2" t="s">
        <v>48</v>
      </c>
      <c r="AK31" s="2" t="s">
        <v>49</v>
      </c>
      <c r="AL31" s="2" t="s">
        <v>50</v>
      </c>
    </row>
    <row r="32" spans="1:38" x14ac:dyDescent="0.2">
      <c r="A32" s="1">
        <v>0</v>
      </c>
      <c r="B32" s="2">
        <v>2.8</v>
      </c>
      <c r="C32" s="2" t="s">
        <v>44</v>
      </c>
      <c r="D32" s="2" t="s">
        <v>78</v>
      </c>
      <c r="E32" s="2">
        <v>84.057301293900196</v>
      </c>
      <c r="F32" s="2">
        <v>1725</v>
      </c>
      <c r="G32" s="2">
        <v>15.942698706099801</v>
      </c>
      <c r="H32" s="2">
        <v>64.912361098923199</v>
      </c>
      <c r="I32" s="2">
        <v>84.057301293900196</v>
      </c>
      <c r="J32" s="2">
        <v>80.566286364912997</v>
      </c>
      <c r="K32" s="2">
        <v>57.727865832494402</v>
      </c>
      <c r="L32" s="2">
        <v>84.057301293900196</v>
      </c>
      <c r="M32" s="2">
        <v>84.057301293900196</v>
      </c>
      <c r="N32" s="2">
        <v>59.237270795232597</v>
      </c>
      <c r="O32" s="2">
        <v>84.057301293900196</v>
      </c>
      <c r="P32" s="2">
        <v>81.567361008175695</v>
      </c>
      <c r="Q32" s="2">
        <v>84.337349397590401</v>
      </c>
      <c r="R32" s="2">
        <v>299</v>
      </c>
      <c r="S32" s="2">
        <v>15.662650602409601</v>
      </c>
      <c r="T32" s="2">
        <v>66.584366576819406</v>
      </c>
      <c r="U32" s="2">
        <v>84.337349397590401</v>
      </c>
      <c r="V32" s="2">
        <v>81.547754359757107</v>
      </c>
      <c r="W32" s="2">
        <v>59.999133261105101</v>
      </c>
      <c r="X32" s="2">
        <v>84.337349397590401</v>
      </c>
      <c r="Y32" s="2">
        <v>84.337349397590401</v>
      </c>
      <c r="Z32" s="2">
        <v>61.823192040799299</v>
      </c>
      <c r="AA32" s="2">
        <v>84.337349397590401</v>
      </c>
      <c r="AB32" s="2">
        <v>82.417656580674304</v>
      </c>
      <c r="AC32" s="2">
        <v>755.68379675653796</v>
      </c>
      <c r="AD32" s="2">
        <v>78.467673000000005</v>
      </c>
      <c r="AE32" s="2">
        <v>5608634</v>
      </c>
      <c r="AF32" s="2">
        <v>2783317</v>
      </c>
      <c r="AG32" s="2" t="s">
        <v>80</v>
      </c>
      <c r="AH32" s="2" t="s">
        <v>106</v>
      </c>
      <c r="AI32" s="2" t="s">
        <v>47</v>
      </c>
      <c r="AJ32" s="2" t="s">
        <v>48</v>
      </c>
      <c r="AK32" s="2" t="s">
        <v>49</v>
      </c>
      <c r="AL32" s="2" t="s">
        <v>50</v>
      </c>
    </row>
    <row r="33" spans="1:38" x14ac:dyDescent="0.2">
      <c r="A33" s="1">
        <v>0</v>
      </c>
      <c r="B33" s="2">
        <v>2.9</v>
      </c>
      <c r="C33" s="2" t="s">
        <v>44</v>
      </c>
      <c r="D33" s="2" t="s">
        <v>51</v>
      </c>
      <c r="E33" s="2">
        <v>85.101663585951897</v>
      </c>
      <c r="F33" s="2">
        <v>1612</v>
      </c>
      <c r="G33" s="2">
        <v>14.898336414048099</v>
      </c>
      <c r="H33" s="2" t="s">
        <v>52</v>
      </c>
      <c r="I33" s="2">
        <v>85.101663585951897</v>
      </c>
      <c r="J33" s="2" t="s">
        <v>52</v>
      </c>
      <c r="K33" s="2">
        <v>50</v>
      </c>
      <c r="L33" s="2">
        <v>85.101663585951897</v>
      </c>
      <c r="M33" s="2">
        <v>85.101663585951897</v>
      </c>
      <c r="N33" s="2">
        <v>45.975634112242901</v>
      </c>
      <c r="O33" s="2">
        <v>85.101663585951897</v>
      </c>
      <c r="P33" s="2">
        <v>78.252058947418206</v>
      </c>
      <c r="Q33" s="2">
        <v>85.123101100052395</v>
      </c>
      <c r="R33" s="2">
        <v>284</v>
      </c>
      <c r="S33" s="2">
        <v>14.8768988999476</v>
      </c>
      <c r="T33" s="2" t="s">
        <v>52</v>
      </c>
      <c r="U33" s="2">
        <v>85.123101100052395</v>
      </c>
      <c r="V33" s="2" t="s">
        <v>52</v>
      </c>
      <c r="W33" s="2">
        <v>50</v>
      </c>
      <c r="X33" s="2">
        <v>85.123101100052395</v>
      </c>
      <c r="Y33" s="2">
        <v>85.123101100052395</v>
      </c>
      <c r="Z33" s="2">
        <v>45.9818902093945</v>
      </c>
      <c r="AA33" s="2">
        <v>85.123101100052395</v>
      </c>
      <c r="AB33" s="2">
        <v>78.282421781315904</v>
      </c>
      <c r="AC33" s="2">
        <v>13517.1938205686</v>
      </c>
      <c r="AD33" s="2">
        <v>10.612705</v>
      </c>
      <c r="AE33" s="2">
        <v>643633</v>
      </c>
      <c r="AF33" s="2">
        <v>642320</v>
      </c>
      <c r="AG33" s="2" t="s">
        <v>81</v>
      </c>
      <c r="AH33" s="2" t="s">
        <v>106</v>
      </c>
      <c r="AI33" s="2" t="s">
        <v>47</v>
      </c>
      <c r="AJ33" s="2" t="s">
        <v>48</v>
      </c>
      <c r="AK33" s="2" t="s">
        <v>49</v>
      </c>
      <c r="AL33" s="2" t="s">
        <v>50</v>
      </c>
    </row>
  </sheetData>
  <sortState xmlns:xlrd2="http://schemas.microsoft.com/office/spreadsheetml/2017/richdata2" ref="A10:AL33">
    <sortCondition ref="B10:B33"/>
  </sortState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85F5-3D57-4845-B3FC-DE424596E39F}">
  <dimension ref="A1:AL33"/>
  <sheetViews>
    <sheetView topLeftCell="A2" workbookViewId="0">
      <selection activeCell="C37" sqref="C37"/>
    </sheetView>
  </sheetViews>
  <sheetFormatPr baseColWidth="10" defaultColWidth="11" defaultRowHeight="16" x14ac:dyDescent="0.2"/>
  <sheetData>
    <row r="1" spans="1:38" x14ac:dyDescent="0.2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x14ac:dyDescent="0.2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x14ac:dyDescent="0.2">
      <c r="A3" s="1" t="s">
        <v>105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2">
      <c r="A4" s="1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x14ac:dyDescent="0.2">
      <c r="A5" s="1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x14ac:dyDescent="0.2">
      <c r="A6" s="1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x14ac:dyDescent="0.2">
      <c r="A9" s="1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  <c r="K9" s="2" t="s">
        <v>16</v>
      </c>
      <c r="L9" s="2" t="s">
        <v>17</v>
      </c>
      <c r="M9" s="2" t="s">
        <v>18</v>
      </c>
      <c r="N9" s="2" t="s">
        <v>19</v>
      </c>
      <c r="O9" s="2" t="s">
        <v>20</v>
      </c>
      <c r="P9" s="2" t="s">
        <v>21</v>
      </c>
      <c r="Q9" s="2" t="s">
        <v>22</v>
      </c>
      <c r="R9" s="2" t="s">
        <v>23</v>
      </c>
      <c r="S9" s="2" t="s">
        <v>24</v>
      </c>
      <c r="T9" s="2" t="s">
        <v>25</v>
      </c>
      <c r="U9" s="2" t="s">
        <v>26</v>
      </c>
      <c r="V9" s="2" t="s">
        <v>27</v>
      </c>
      <c r="W9" s="2" t="s">
        <v>28</v>
      </c>
      <c r="X9" s="2" t="s">
        <v>29</v>
      </c>
      <c r="Y9" s="2" t="s">
        <v>30</v>
      </c>
      <c r="Z9" s="2" t="s">
        <v>31</v>
      </c>
      <c r="AA9" s="2" t="s">
        <v>32</v>
      </c>
      <c r="AB9" s="2" t="s">
        <v>33</v>
      </c>
      <c r="AC9" s="2" t="s">
        <v>34</v>
      </c>
      <c r="AD9" s="2" t="s">
        <v>35</v>
      </c>
      <c r="AE9" s="2" t="s">
        <v>36</v>
      </c>
      <c r="AF9" s="2" t="s">
        <v>37</v>
      </c>
      <c r="AG9" s="2" t="s">
        <v>38</v>
      </c>
      <c r="AH9" s="2" t="s">
        <v>39</v>
      </c>
      <c r="AI9" s="2" t="s">
        <v>40</v>
      </c>
      <c r="AJ9" s="2" t="s">
        <v>41</v>
      </c>
      <c r="AK9" s="2" t="s">
        <v>42</v>
      </c>
      <c r="AL9" s="2" t="s">
        <v>43</v>
      </c>
    </row>
    <row r="10" spans="1:38" x14ac:dyDescent="0.2">
      <c r="A10" s="1">
        <v>0</v>
      </c>
      <c r="B10" s="2">
        <v>2.1</v>
      </c>
      <c r="C10" s="2" t="s">
        <v>44</v>
      </c>
      <c r="D10" s="2" t="s">
        <v>45</v>
      </c>
      <c r="E10" s="2">
        <v>84.935304990757899</v>
      </c>
      <c r="F10" s="2">
        <v>1630</v>
      </c>
      <c r="G10" s="2">
        <v>15.064695009242101</v>
      </c>
      <c r="H10" s="2">
        <v>68.323920295898802</v>
      </c>
      <c r="I10" s="2">
        <v>84.935304990757899</v>
      </c>
      <c r="J10" s="2">
        <v>81.985687093446401</v>
      </c>
      <c r="K10" s="2">
        <v>59.804547453611399</v>
      </c>
      <c r="L10" s="2">
        <v>84.935304990757899</v>
      </c>
      <c r="M10" s="2">
        <v>84.935304990757899</v>
      </c>
      <c r="N10" s="2">
        <v>61.861322139679203</v>
      </c>
      <c r="O10" s="2">
        <v>84.935304990757899</v>
      </c>
      <c r="P10" s="2">
        <v>82.687127003841894</v>
      </c>
      <c r="Q10" s="2">
        <v>85.594552121529603</v>
      </c>
      <c r="R10" s="2">
        <v>275</v>
      </c>
      <c r="S10" s="2">
        <v>14.405447878470399</v>
      </c>
      <c r="T10" s="2">
        <v>70.711047482701005</v>
      </c>
      <c r="U10" s="2">
        <v>85.594552121529603</v>
      </c>
      <c r="V10" s="2">
        <v>82.770733114525299</v>
      </c>
      <c r="W10" s="2">
        <v>60.156446370530901</v>
      </c>
      <c r="X10" s="2">
        <v>85.594552121529603</v>
      </c>
      <c r="Y10" s="2">
        <v>85.594552121529603</v>
      </c>
      <c r="Z10" s="2">
        <v>62.5092035361575</v>
      </c>
      <c r="AA10" s="2">
        <v>85.594552121529603</v>
      </c>
      <c r="AB10" s="2">
        <v>83.175059646293704</v>
      </c>
      <c r="AC10" s="2">
        <v>543390.92004821205</v>
      </c>
      <c r="AD10" s="2">
        <v>3.4451499999999999</v>
      </c>
      <c r="AE10" s="2">
        <v>30933</v>
      </c>
      <c r="AF10" s="2">
        <v>22748</v>
      </c>
      <c r="AG10" s="2" t="s">
        <v>46</v>
      </c>
      <c r="AH10" s="2" t="s">
        <v>106</v>
      </c>
      <c r="AI10" s="2" t="s">
        <v>47</v>
      </c>
      <c r="AJ10" s="2" t="s">
        <v>48</v>
      </c>
      <c r="AK10" s="2" t="s">
        <v>49</v>
      </c>
      <c r="AL10" s="2" t="s">
        <v>50</v>
      </c>
    </row>
    <row r="11" spans="1:38" x14ac:dyDescent="0.2">
      <c r="A11" s="1">
        <v>0</v>
      </c>
      <c r="B11" s="2">
        <v>2.1</v>
      </c>
      <c r="C11" s="2" t="s">
        <v>44</v>
      </c>
      <c r="D11" s="2" t="s">
        <v>51</v>
      </c>
      <c r="E11" s="2">
        <v>85.415896487985194</v>
      </c>
      <c r="F11" s="2">
        <v>1578</v>
      </c>
      <c r="G11" s="2">
        <v>14.584103512014799</v>
      </c>
      <c r="H11" s="2">
        <v>79.553043460281998</v>
      </c>
      <c r="I11" s="2">
        <v>85.415896487985194</v>
      </c>
      <c r="J11" s="2">
        <v>83.724477667703695</v>
      </c>
      <c r="K11" s="2">
        <v>51.540749440016597</v>
      </c>
      <c r="L11" s="2">
        <v>85.415896487985194</v>
      </c>
      <c r="M11" s="2">
        <v>85.415896487985194</v>
      </c>
      <c r="N11" s="2">
        <v>49.193570272652103</v>
      </c>
      <c r="O11" s="2">
        <v>85.415896487985194</v>
      </c>
      <c r="P11" s="2">
        <v>79.310119083036298</v>
      </c>
      <c r="Q11" s="2" t="s">
        <v>52</v>
      </c>
      <c r="R11" s="2" t="s">
        <v>52</v>
      </c>
      <c r="S11" s="2" t="s">
        <v>52</v>
      </c>
      <c r="T11" s="2" t="s">
        <v>52</v>
      </c>
      <c r="U11" s="2" t="s">
        <v>52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>
        <v>15317.621210233599</v>
      </c>
      <c r="AD11" s="2">
        <v>106.409465</v>
      </c>
      <c r="AE11" s="2">
        <v>649033</v>
      </c>
      <c r="AF11" s="2">
        <v>647888</v>
      </c>
      <c r="AG11" s="2" t="s">
        <v>53</v>
      </c>
      <c r="AH11" s="2" t="s">
        <v>106</v>
      </c>
      <c r="AI11" s="2" t="s">
        <v>47</v>
      </c>
      <c r="AJ11" s="2" t="s">
        <v>48</v>
      </c>
      <c r="AK11" s="2" t="s">
        <v>49</v>
      </c>
      <c r="AL11" s="2" t="s">
        <v>50</v>
      </c>
    </row>
    <row r="12" spans="1:38" x14ac:dyDescent="0.2">
      <c r="A12" s="1">
        <v>0</v>
      </c>
      <c r="B12" s="2">
        <v>2.11</v>
      </c>
      <c r="C12" s="2" t="s">
        <v>44</v>
      </c>
      <c r="D12" s="2" t="s">
        <v>51</v>
      </c>
      <c r="E12" s="2">
        <v>84.057301293900196</v>
      </c>
      <c r="F12" s="2">
        <v>1725</v>
      </c>
      <c r="G12" s="2">
        <v>15.942698706099801</v>
      </c>
      <c r="H12" s="2">
        <v>65.582388852977104</v>
      </c>
      <c r="I12" s="2">
        <v>84.057301293900196</v>
      </c>
      <c r="J12" s="2">
        <v>81.054873406588101</v>
      </c>
      <c r="K12" s="2">
        <v>59.135167822564497</v>
      </c>
      <c r="L12" s="2">
        <v>84.057301293900196</v>
      </c>
      <c r="M12" s="2">
        <v>84.057301293900196</v>
      </c>
      <c r="N12" s="2">
        <v>60.816451258442797</v>
      </c>
      <c r="O12" s="2">
        <v>84.057301293900196</v>
      </c>
      <c r="P12" s="2">
        <v>82.001798296644395</v>
      </c>
      <c r="Q12" s="2" t="s">
        <v>52</v>
      </c>
      <c r="R12" s="2" t="s">
        <v>52</v>
      </c>
      <c r="S12" s="2" t="s">
        <v>52</v>
      </c>
      <c r="T12" s="2" t="s">
        <v>52</v>
      </c>
      <c r="U12" s="2" t="s">
        <v>52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>
        <v>22969.0830198613</v>
      </c>
      <c r="AD12" s="2">
        <v>133.97675699999999</v>
      </c>
      <c r="AE12" s="2">
        <v>683017</v>
      </c>
      <c r="AF12" s="2">
        <v>681872</v>
      </c>
      <c r="AG12" s="2" t="s">
        <v>54</v>
      </c>
      <c r="AH12" s="2" t="s">
        <v>106</v>
      </c>
      <c r="AI12" s="2" t="s">
        <v>47</v>
      </c>
      <c r="AJ12" s="2" t="s">
        <v>48</v>
      </c>
      <c r="AK12" s="2" t="s">
        <v>49</v>
      </c>
      <c r="AL12" s="2" t="s">
        <v>50</v>
      </c>
    </row>
    <row r="13" spans="1:38" x14ac:dyDescent="0.2">
      <c r="A13" s="1">
        <v>0</v>
      </c>
      <c r="B13" s="2">
        <v>2.12</v>
      </c>
      <c r="C13" s="2" t="s">
        <v>44</v>
      </c>
      <c r="D13" s="2" t="s">
        <v>51</v>
      </c>
      <c r="E13" s="2">
        <v>85.101663585951897</v>
      </c>
      <c r="F13" s="2">
        <v>1612</v>
      </c>
      <c r="G13" s="2">
        <v>14.898336414048099</v>
      </c>
      <c r="H13" s="2" t="s">
        <v>52</v>
      </c>
      <c r="I13" s="2">
        <v>85.101663585951897</v>
      </c>
      <c r="J13" s="2" t="s">
        <v>52</v>
      </c>
      <c r="K13" s="2">
        <v>50</v>
      </c>
      <c r="L13" s="2">
        <v>85.101663585951897</v>
      </c>
      <c r="M13" s="2">
        <v>85.101663585951897</v>
      </c>
      <c r="N13" s="2">
        <v>45.975634112242901</v>
      </c>
      <c r="O13" s="2">
        <v>85.101663585951897</v>
      </c>
      <c r="P13" s="2">
        <v>78.252058947418206</v>
      </c>
      <c r="Q13" s="2">
        <v>85.123101100052395</v>
      </c>
      <c r="R13" s="2">
        <v>284</v>
      </c>
      <c r="S13" s="2">
        <v>14.8768988999476</v>
      </c>
      <c r="T13" s="2" t="s">
        <v>52</v>
      </c>
      <c r="U13" s="2">
        <v>85.123101100052395</v>
      </c>
      <c r="V13" s="2" t="s">
        <v>52</v>
      </c>
      <c r="W13" s="2">
        <v>50</v>
      </c>
      <c r="X13" s="2">
        <v>85.123101100052395</v>
      </c>
      <c r="Y13" s="2">
        <v>85.123101100052395</v>
      </c>
      <c r="Z13" s="2">
        <v>45.9818902093945</v>
      </c>
      <c r="AA13" s="2">
        <v>85.123101100052395</v>
      </c>
      <c r="AB13" s="2">
        <v>78.282421781315904</v>
      </c>
      <c r="AC13" s="2">
        <v>5153.9492255024297</v>
      </c>
      <c r="AD13" s="2">
        <v>52.189258000000002</v>
      </c>
      <c r="AE13" s="2">
        <v>2084805</v>
      </c>
      <c r="AF13" s="2">
        <v>2083664</v>
      </c>
      <c r="AG13" s="2" t="s">
        <v>107</v>
      </c>
      <c r="AH13" s="2" t="s">
        <v>106</v>
      </c>
      <c r="AI13" s="2" t="s">
        <v>47</v>
      </c>
      <c r="AJ13" s="2" t="s">
        <v>48</v>
      </c>
      <c r="AK13" s="2" t="s">
        <v>49</v>
      </c>
      <c r="AL13" s="2" t="s">
        <v>50</v>
      </c>
    </row>
    <row r="14" spans="1:38" x14ac:dyDescent="0.2">
      <c r="A14" s="1">
        <v>0</v>
      </c>
      <c r="B14" s="2">
        <v>2.13</v>
      </c>
      <c r="C14" s="2" t="s">
        <v>44</v>
      </c>
      <c r="D14" s="2" t="s">
        <v>51</v>
      </c>
      <c r="E14" s="2">
        <v>85.508317929759698</v>
      </c>
      <c r="F14" s="2">
        <v>1568</v>
      </c>
      <c r="G14" s="2">
        <v>14.4916820702403</v>
      </c>
      <c r="H14" s="2">
        <v>77.017133956386303</v>
      </c>
      <c r="I14" s="2">
        <v>85.508317929759698</v>
      </c>
      <c r="J14" s="2">
        <v>83.113450918743993</v>
      </c>
      <c r="K14" s="2">
        <v>52.337082006583998</v>
      </c>
      <c r="L14" s="2">
        <v>85.508317929759698</v>
      </c>
      <c r="M14" s="2">
        <v>85.508317929759698</v>
      </c>
      <c r="N14" s="2">
        <v>50.79629575493</v>
      </c>
      <c r="O14" s="2">
        <v>85.508317929759698</v>
      </c>
      <c r="P14" s="2">
        <v>79.8095572470082</v>
      </c>
      <c r="Q14" s="2">
        <v>85.5421686746988</v>
      </c>
      <c r="R14" s="2">
        <v>276</v>
      </c>
      <c r="S14" s="2">
        <v>14.4578313253012</v>
      </c>
      <c r="T14" s="2">
        <v>76.224580017683493</v>
      </c>
      <c r="U14" s="2">
        <v>85.5421686746988</v>
      </c>
      <c r="V14" s="2">
        <v>82.938651156349493</v>
      </c>
      <c r="W14" s="2">
        <v>52.570747562296901</v>
      </c>
      <c r="X14" s="2">
        <v>85.5421686746988</v>
      </c>
      <c r="Y14" s="2">
        <v>85.5421686746988</v>
      </c>
      <c r="Z14" s="2">
        <v>51.263181263181302</v>
      </c>
      <c r="AA14" s="2">
        <v>85.5421686746988</v>
      </c>
      <c r="AB14" s="2">
        <v>79.975312505432996</v>
      </c>
      <c r="AC14" s="2">
        <v>7242.5497791423904</v>
      </c>
      <c r="AD14" s="2">
        <v>31.924454000000001</v>
      </c>
      <c r="AE14" s="2">
        <v>830085</v>
      </c>
      <c r="AF14" s="2">
        <v>828944</v>
      </c>
      <c r="AG14" s="2" t="s">
        <v>108</v>
      </c>
      <c r="AH14" s="2" t="s">
        <v>106</v>
      </c>
      <c r="AI14" s="2" t="s">
        <v>47</v>
      </c>
      <c r="AJ14" s="2" t="s">
        <v>48</v>
      </c>
      <c r="AK14" s="2" t="s">
        <v>49</v>
      </c>
      <c r="AL14" s="2" t="s">
        <v>50</v>
      </c>
    </row>
    <row r="15" spans="1:38" x14ac:dyDescent="0.2">
      <c r="A15" s="1">
        <v>0</v>
      </c>
      <c r="B15" s="2">
        <v>2.14</v>
      </c>
      <c r="C15" s="2" t="s">
        <v>44</v>
      </c>
      <c r="D15" s="2" t="s">
        <v>51</v>
      </c>
      <c r="E15" s="2">
        <v>85.101663585951897</v>
      </c>
      <c r="F15" s="2">
        <v>1612</v>
      </c>
      <c r="G15" s="2">
        <v>14.898336414048099</v>
      </c>
      <c r="H15" s="2" t="s">
        <v>52</v>
      </c>
      <c r="I15" s="2">
        <v>85.101663585951897</v>
      </c>
      <c r="J15" s="2" t="s">
        <v>52</v>
      </c>
      <c r="K15" s="2">
        <v>50</v>
      </c>
      <c r="L15" s="2">
        <v>85.101663585951897</v>
      </c>
      <c r="M15" s="2">
        <v>85.101663585951897</v>
      </c>
      <c r="N15" s="2">
        <v>45.975634112242901</v>
      </c>
      <c r="O15" s="2">
        <v>85.101663585951897</v>
      </c>
      <c r="P15" s="2">
        <v>78.252058947418206</v>
      </c>
      <c r="Q15" s="2">
        <v>85.123101100052395</v>
      </c>
      <c r="R15" s="2">
        <v>284</v>
      </c>
      <c r="S15" s="2">
        <v>14.8768988999476</v>
      </c>
      <c r="T15" s="2" t="s">
        <v>52</v>
      </c>
      <c r="U15" s="2">
        <v>85.123101100052395</v>
      </c>
      <c r="V15" s="2" t="s">
        <v>52</v>
      </c>
      <c r="W15" s="2">
        <v>50</v>
      </c>
      <c r="X15" s="2">
        <v>85.123101100052395</v>
      </c>
      <c r="Y15" s="2">
        <v>85.123101100052395</v>
      </c>
      <c r="Z15" s="2">
        <v>45.9818902093945</v>
      </c>
      <c r="AA15" s="2">
        <v>85.123101100052395</v>
      </c>
      <c r="AB15" s="2">
        <v>78.282421781315904</v>
      </c>
      <c r="AC15" s="2">
        <v>7871.6098242346598</v>
      </c>
      <c r="AD15" s="2">
        <v>34.127937000000003</v>
      </c>
      <c r="AE15" s="2">
        <v>689349</v>
      </c>
      <c r="AF15" s="2">
        <v>688208</v>
      </c>
      <c r="AG15" s="2" t="s">
        <v>109</v>
      </c>
      <c r="AH15" s="2" t="s">
        <v>106</v>
      </c>
      <c r="AI15" s="2" t="s">
        <v>47</v>
      </c>
      <c r="AJ15" s="2" t="s">
        <v>48</v>
      </c>
      <c r="AK15" s="2" t="s">
        <v>49</v>
      </c>
      <c r="AL15" s="2" t="s">
        <v>50</v>
      </c>
    </row>
    <row r="16" spans="1:38" x14ac:dyDescent="0.2">
      <c r="A16" s="1">
        <v>0</v>
      </c>
      <c r="B16" s="2">
        <v>2.15</v>
      </c>
      <c r="C16" s="2" t="s">
        <v>44</v>
      </c>
      <c r="D16" s="2" t="s">
        <v>58</v>
      </c>
      <c r="E16" s="2">
        <v>86.312384473197795</v>
      </c>
      <c r="F16" s="2">
        <v>1481</v>
      </c>
      <c r="G16" s="2">
        <v>13.687615526802199</v>
      </c>
      <c r="H16" s="2">
        <v>75.593552767590396</v>
      </c>
      <c r="I16" s="2">
        <v>86.312384473197795</v>
      </c>
      <c r="J16" s="2">
        <v>83.839475963437394</v>
      </c>
      <c r="K16" s="2">
        <v>58.4387052579158</v>
      </c>
      <c r="L16" s="2">
        <v>86.312384473197795</v>
      </c>
      <c r="M16" s="2">
        <v>86.312384473197795</v>
      </c>
      <c r="N16" s="2">
        <v>60.697657164475501</v>
      </c>
      <c r="O16" s="2">
        <v>86.312384473197795</v>
      </c>
      <c r="P16" s="2">
        <v>82.972353058814903</v>
      </c>
      <c r="Q16" s="2">
        <v>86.694604504976397</v>
      </c>
      <c r="R16" s="2">
        <v>254</v>
      </c>
      <c r="S16" s="2">
        <v>13.3053954950236</v>
      </c>
      <c r="T16" s="2">
        <v>76.717629619415305</v>
      </c>
      <c r="U16" s="2">
        <v>86.694604504976397</v>
      </c>
      <c r="V16" s="2">
        <v>84.509780651178502</v>
      </c>
      <c r="W16" s="2">
        <v>60.076164680390001</v>
      </c>
      <c r="X16" s="2">
        <v>86.694604504976397</v>
      </c>
      <c r="Y16" s="2">
        <v>86.694604504976397</v>
      </c>
      <c r="Z16" s="2">
        <v>62.884939224151097</v>
      </c>
      <c r="AA16" s="2">
        <v>86.694604504976397</v>
      </c>
      <c r="AB16" s="2">
        <v>83.767059002821298</v>
      </c>
      <c r="AC16" s="2">
        <v>21927.957943716901</v>
      </c>
      <c r="AD16" s="2">
        <v>21.029221</v>
      </c>
      <c r="AE16" s="2">
        <v>359622</v>
      </c>
      <c r="AF16" s="2">
        <v>174199</v>
      </c>
      <c r="AG16" s="2" t="s">
        <v>59</v>
      </c>
      <c r="AH16" s="2" t="s">
        <v>106</v>
      </c>
      <c r="AI16" s="2" t="s">
        <v>47</v>
      </c>
      <c r="AJ16" s="2" t="s">
        <v>48</v>
      </c>
      <c r="AK16" s="2" t="s">
        <v>49</v>
      </c>
      <c r="AL16" s="2" t="s">
        <v>50</v>
      </c>
    </row>
    <row r="17" spans="1:38" x14ac:dyDescent="0.2">
      <c r="A17" s="1">
        <v>0</v>
      </c>
      <c r="B17" s="2">
        <v>2.16</v>
      </c>
      <c r="C17" s="2" t="s">
        <v>44</v>
      </c>
      <c r="D17" s="2" t="s">
        <v>58</v>
      </c>
      <c r="E17" s="2">
        <v>85.905730129389994</v>
      </c>
      <c r="F17" s="2">
        <v>1525</v>
      </c>
      <c r="G17" s="2">
        <v>14.094269870610001</v>
      </c>
      <c r="H17" s="2">
        <v>72.448958391560495</v>
      </c>
      <c r="I17" s="2">
        <v>85.905730129389994</v>
      </c>
      <c r="J17" s="2">
        <v>83.059051615616198</v>
      </c>
      <c r="K17" s="2">
        <v>59.172100320575701</v>
      </c>
      <c r="L17" s="2">
        <v>85.905730129389994</v>
      </c>
      <c r="M17" s="2">
        <v>85.905730129389994</v>
      </c>
      <c r="N17" s="2">
        <v>61.496166942894099</v>
      </c>
      <c r="O17" s="2">
        <v>85.905730129389994</v>
      </c>
      <c r="P17" s="2">
        <v>83.018516561538704</v>
      </c>
      <c r="Q17" s="2">
        <v>86.170770036668401</v>
      </c>
      <c r="R17" s="2">
        <v>264</v>
      </c>
      <c r="S17" s="2">
        <v>13.829229963331599</v>
      </c>
      <c r="T17" s="2">
        <v>74.065705409999396</v>
      </c>
      <c r="U17" s="2">
        <v>86.170770036668401</v>
      </c>
      <c r="V17" s="2">
        <v>83.497949259135495</v>
      </c>
      <c r="W17" s="2">
        <v>58.896749729144098</v>
      </c>
      <c r="X17" s="2">
        <v>86.170770036668401</v>
      </c>
      <c r="Y17" s="2">
        <v>86.170770036668401</v>
      </c>
      <c r="Z17" s="2">
        <v>61.2421557770395</v>
      </c>
      <c r="AA17" s="2">
        <v>86.170770036668401</v>
      </c>
      <c r="AB17" s="2">
        <v>83.0770817875962</v>
      </c>
      <c r="AC17" s="2">
        <v>14408.377632658299</v>
      </c>
      <c r="AD17" s="2">
        <v>44.125030000000002</v>
      </c>
      <c r="AE17" s="2">
        <v>5979810</v>
      </c>
      <c r="AF17" s="2">
        <v>4368531</v>
      </c>
      <c r="AG17" s="2" t="s">
        <v>60</v>
      </c>
      <c r="AH17" s="2" t="s">
        <v>106</v>
      </c>
      <c r="AI17" s="2" t="s">
        <v>47</v>
      </c>
      <c r="AJ17" s="2" t="s">
        <v>48</v>
      </c>
      <c r="AK17" s="2" t="s">
        <v>49</v>
      </c>
      <c r="AL17" s="2" t="s">
        <v>50</v>
      </c>
    </row>
    <row r="18" spans="1:38" x14ac:dyDescent="0.2">
      <c r="A18" s="1">
        <v>0</v>
      </c>
      <c r="B18" s="2">
        <v>2.17</v>
      </c>
      <c r="C18" s="2" t="s">
        <v>44</v>
      </c>
      <c r="D18" s="2" t="s">
        <v>58</v>
      </c>
      <c r="E18" s="2">
        <v>71.377079482439896</v>
      </c>
      <c r="F18" s="2">
        <v>3097</v>
      </c>
      <c r="G18" s="2">
        <v>28.6229205175601</v>
      </c>
      <c r="H18" s="2">
        <v>63.371817970342903</v>
      </c>
      <c r="I18" s="2">
        <v>71.377079482439896</v>
      </c>
      <c r="J18" s="2">
        <v>85.645798353452506</v>
      </c>
      <c r="K18" s="2">
        <v>74.688115092497</v>
      </c>
      <c r="L18" s="2">
        <v>71.377079482439896</v>
      </c>
      <c r="M18" s="2">
        <v>71.377079482439896</v>
      </c>
      <c r="N18" s="2">
        <v>62.938415065830696</v>
      </c>
      <c r="O18" s="2">
        <v>71.377079482439896</v>
      </c>
      <c r="P18" s="2">
        <v>75.353695892591006</v>
      </c>
      <c r="Q18" s="2">
        <v>72.760607647983207</v>
      </c>
      <c r="R18" s="2">
        <v>520</v>
      </c>
      <c r="S18" s="2">
        <v>27.2393923520168</v>
      </c>
      <c r="T18" s="2">
        <v>64.359003783370696</v>
      </c>
      <c r="U18" s="2">
        <v>72.760607647983207</v>
      </c>
      <c r="V18" s="2">
        <v>86.321091078585994</v>
      </c>
      <c r="W18" s="2">
        <v>76.299783315276301</v>
      </c>
      <c r="X18" s="2">
        <v>72.760607647983207</v>
      </c>
      <c r="Y18" s="2">
        <v>72.760607647983207</v>
      </c>
      <c r="Z18" s="2">
        <v>64.355579557565093</v>
      </c>
      <c r="AA18" s="2">
        <v>72.760607647983207</v>
      </c>
      <c r="AB18" s="2">
        <v>76.514309513606904</v>
      </c>
      <c r="AC18" s="2">
        <v>17561.3144692571</v>
      </c>
      <c r="AD18" s="2">
        <v>18.297160999999999</v>
      </c>
      <c r="AE18" s="2">
        <v>335658</v>
      </c>
      <c r="AF18" s="2">
        <v>141739</v>
      </c>
      <c r="AG18" s="2" t="s">
        <v>61</v>
      </c>
      <c r="AH18" s="2" t="s">
        <v>106</v>
      </c>
      <c r="AI18" s="2" t="s">
        <v>47</v>
      </c>
      <c r="AJ18" s="2" t="s">
        <v>48</v>
      </c>
      <c r="AK18" s="2" t="s">
        <v>49</v>
      </c>
      <c r="AL18" s="2" t="s">
        <v>50</v>
      </c>
    </row>
    <row r="19" spans="1:38" x14ac:dyDescent="0.2">
      <c r="A19" s="1">
        <v>0</v>
      </c>
      <c r="B19" s="2">
        <v>2.1800000000000002</v>
      </c>
      <c r="C19" s="2" t="s">
        <v>44</v>
      </c>
      <c r="D19" s="2" t="s">
        <v>62</v>
      </c>
      <c r="E19" s="2">
        <v>85.203327171903894</v>
      </c>
      <c r="F19" s="2">
        <v>1601</v>
      </c>
      <c r="G19" s="2">
        <v>14.796672828096099</v>
      </c>
      <c r="H19" s="2">
        <v>69.131055724716006</v>
      </c>
      <c r="I19" s="2">
        <v>85.203327171903894</v>
      </c>
      <c r="J19" s="2">
        <v>81.973994280663703</v>
      </c>
      <c r="K19" s="2">
        <v>58.605891845045697</v>
      </c>
      <c r="L19" s="2">
        <v>85.203327171903894</v>
      </c>
      <c r="M19" s="2">
        <v>85.203327171903894</v>
      </c>
      <c r="N19" s="2">
        <v>60.587674973782697</v>
      </c>
      <c r="O19" s="2">
        <v>85.203327171903894</v>
      </c>
      <c r="P19" s="2">
        <v>82.454181124750804</v>
      </c>
      <c r="Q19" s="2">
        <v>85.227867993714</v>
      </c>
      <c r="R19" s="2">
        <v>282</v>
      </c>
      <c r="S19" s="2">
        <v>14.772132006286</v>
      </c>
      <c r="T19" s="2">
        <v>69.130346211940505</v>
      </c>
      <c r="U19" s="2">
        <v>85.227867993714</v>
      </c>
      <c r="V19" s="2">
        <v>81.941489659630903</v>
      </c>
      <c r="W19" s="2">
        <v>58.342903575297903</v>
      </c>
      <c r="X19" s="2">
        <v>85.227867993714</v>
      </c>
      <c r="Y19" s="2">
        <v>85.227867993714</v>
      </c>
      <c r="Z19" s="2">
        <v>60.273541965534903</v>
      </c>
      <c r="AA19" s="2">
        <v>85.227867993714</v>
      </c>
      <c r="AB19" s="2">
        <v>82.391024585355197</v>
      </c>
      <c r="AC19" s="2">
        <v>56043.8820488649</v>
      </c>
      <c r="AD19" s="2">
        <v>40.127955</v>
      </c>
      <c r="AE19" s="2">
        <v>10530</v>
      </c>
      <c r="AF19" s="2">
        <v>8924</v>
      </c>
      <c r="AG19" s="2" t="s">
        <v>63</v>
      </c>
      <c r="AH19" s="2" t="s">
        <v>106</v>
      </c>
      <c r="AI19" s="2" t="s">
        <v>47</v>
      </c>
      <c r="AJ19" s="2" t="s">
        <v>48</v>
      </c>
      <c r="AK19" s="2" t="s">
        <v>49</v>
      </c>
      <c r="AL19" s="2" t="s">
        <v>50</v>
      </c>
    </row>
    <row r="20" spans="1:38" x14ac:dyDescent="0.2">
      <c r="A20" s="1">
        <v>0</v>
      </c>
      <c r="B20" s="2">
        <v>2.19</v>
      </c>
      <c r="C20" s="2" t="s">
        <v>44</v>
      </c>
      <c r="D20" s="2" t="s">
        <v>62</v>
      </c>
      <c r="E20" s="2">
        <v>82.948243992606294</v>
      </c>
      <c r="F20" s="2">
        <v>1845</v>
      </c>
      <c r="G20" s="2">
        <v>17.051756007393699</v>
      </c>
      <c r="H20" s="2">
        <v>63.064858195259397</v>
      </c>
      <c r="I20" s="2">
        <v>82.948243992606294</v>
      </c>
      <c r="J20" s="2">
        <v>80.2630133440463</v>
      </c>
      <c r="K20" s="2">
        <v>58.790608231487099</v>
      </c>
      <c r="L20" s="2">
        <v>82.948243992606294</v>
      </c>
      <c r="M20" s="2">
        <v>82.948243992606294</v>
      </c>
      <c r="N20" s="2">
        <v>60.084321817673498</v>
      </c>
      <c r="O20" s="2">
        <v>82.948243992606294</v>
      </c>
      <c r="P20" s="2">
        <v>81.2925710350125</v>
      </c>
      <c r="Q20" s="2">
        <v>84.180199057097994</v>
      </c>
      <c r="R20" s="2">
        <v>302</v>
      </c>
      <c r="S20" s="2">
        <v>15.819800942902001</v>
      </c>
      <c r="T20" s="2">
        <v>66.041104902081301</v>
      </c>
      <c r="U20" s="2">
        <v>84.180199057097994</v>
      </c>
      <c r="V20" s="2">
        <v>81.310737834835393</v>
      </c>
      <c r="W20" s="2">
        <v>59.616251354279498</v>
      </c>
      <c r="X20" s="2">
        <v>84.180199057097994</v>
      </c>
      <c r="Y20" s="2">
        <v>84.180199057097994</v>
      </c>
      <c r="Z20" s="2">
        <v>61.364355257232297</v>
      </c>
      <c r="AA20" s="2">
        <v>84.180199057097994</v>
      </c>
      <c r="AB20" s="2">
        <v>82.220556031342596</v>
      </c>
      <c r="AC20" s="2">
        <v>251668.876328705</v>
      </c>
      <c r="AD20" s="2">
        <v>57.323014999999998</v>
      </c>
      <c r="AE20" s="2">
        <v>13530</v>
      </c>
      <c r="AF20" s="2">
        <v>11924</v>
      </c>
      <c r="AG20" s="2" t="s">
        <v>64</v>
      </c>
      <c r="AH20" s="2" t="s">
        <v>106</v>
      </c>
      <c r="AI20" s="2" t="s">
        <v>47</v>
      </c>
      <c r="AJ20" s="2" t="s">
        <v>48</v>
      </c>
      <c r="AK20" s="2" t="s">
        <v>49</v>
      </c>
      <c r="AL20" s="2" t="s">
        <v>50</v>
      </c>
    </row>
    <row r="21" spans="1:38" x14ac:dyDescent="0.2">
      <c r="A21" s="1">
        <v>0</v>
      </c>
      <c r="B21" s="2">
        <v>2.2000000000000002</v>
      </c>
      <c r="C21" s="2" t="s">
        <v>44</v>
      </c>
      <c r="D21" s="2" t="s">
        <v>45</v>
      </c>
      <c r="E21" s="2">
        <v>85.471349353049902</v>
      </c>
      <c r="F21" s="2">
        <v>1572</v>
      </c>
      <c r="G21" s="2">
        <v>14.5286506469501</v>
      </c>
      <c r="H21" s="2">
        <v>70.8575029551521</v>
      </c>
      <c r="I21" s="2">
        <v>85.471349353049902</v>
      </c>
      <c r="J21" s="2">
        <v>81.918361587917303</v>
      </c>
      <c r="K21" s="2">
        <v>55.744061157306298</v>
      </c>
      <c r="L21" s="2">
        <v>85.471349353049902</v>
      </c>
      <c r="M21" s="2">
        <v>85.471349353049902</v>
      </c>
      <c r="N21" s="2">
        <v>56.775591209107603</v>
      </c>
      <c r="O21" s="2">
        <v>85.471349353049902</v>
      </c>
      <c r="P21" s="2">
        <v>81.500293893021606</v>
      </c>
      <c r="Q21" s="2">
        <v>85.908852802514403</v>
      </c>
      <c r="R21" s="2">
        <v>269</v>
      </c>
      <c r="S21" s="2">
        <v>14.091147197485601</v>
      </c>
      <c r="T21" s="2">
        <v>74.883483005570099</v>
      </c>
      <c r="U21" s="2">
        <v>85.908852802514403</v>
      </c>
      <c r="V21" s="2">
        <v>83.120263449972498</v>
      </c>
      <c r="W21" s="2">
        <v>55.691874322860201</v>
      </c>
      <c r="X21" s="2">
        <v>85.908852802514403</v>
      </c>
      <c r="Y21" s="2">
        <v>85.908852802514403</v>
      </c>
      <c r="Z21" s="2">
        <v>56.688907500229803</v>
      </c>
      <c r="AA21" s="2">
        <v>85.908852802514403</v>
      </c>
      <c r="AB21" s="2">
        <v>81.678669394594394</v>
      </c>
      <c r="AC21" s="2">
        <v>570915.99831152405</v>
      </c>
      <c r="AD21" s="2">
        <v>2.8168929999999999</v>
      </c>
      <c r="AE21" s="2">
        <v>10625</v>
      </c>
      <c r="AF21" s="2">
        <v>7016</v>
      </c>
      <c r="AG21" s="2" t="s">
        <v>65</v>
      </c>
      <c r="AH21" s="2" t="s">
        <v>106</v>
      </c>
      <c r="AI21" s="2" t="s">
        <v>47</v>
      </c>
      <c r="AJ21" s="2" t="s">
        <v>48</v>
      </c>
      <c r="AK21" s="2" t="s">
        <v>49</v>
      </c>
      <c r="AL21" s="2" t="s">
        <v>50</v>
      </c>
    </row>
    <row r="22" spans="1:38" x14ac:dyDescent="0.2">
      <c r="A22" s="1">
        <v>0</v>
      </c>
      <c r="B22" s="2">
        <v>2.2000000000000002</v>
      </c>
      <c r="C22" s="2" t="s">
        <v>44</v>
      </c>
      <c r="D22" s="2" t="s">
        <v>62</v>
      </c>
      <c r="E22" s="2">
        <v>78.243992606284706</v>
      </c>
      <c r="F22" s="2">
        <v>2354</v>
      </c>
      <c r="G22" s="2">
        <v>21.756007393715301</v>
      </c>
      <c r="H22" s="2">
        <v>59.030142080496198</v>
      </c>
      <c r="I22" s="2">
        <v>78.243992606284706</v>
      </c>
      <c r="J22" s="2">
        <v>79.494024384743099</v>
      </c>
      <c r="K22" s="2">
        <v>60.069502083634298</v>
      </c>
      <c r="L22" s="2">
        <v>78.243992606284706</v>
      </c>
      <c r="M22" s="2">
        <v>78.243992606284607</v>
      </c>
      <c r="N22" s="2">
        <v>59.470563763829801</v>
      </c>
      <c r="O22" s="2">
        <v>78.243992606284706</v>
      </c>
      <c r="P22" s="2">
        <v>78.835442292793303</v>
      </c>
      <c r="Q22" s="2">
        <v>77.160817181770597</v>
      </c>
      <c r="R22" s="2">
        <v>436</v>
      </c>
      <c r="S22" s="2">
        <v>22.8391828182294</v>
      </c>
      <c r="T22" s="2">
        <v>58.209566571978399</v>
      </c>
      <c r="U22" s="2">
        <v>77.160817181770597</v>
      </c>
      <c r="V22" s="2">
        <v>79.229936355048096</v>
      </c>
      <c r="W22" s="2">
        <v>59.706500541711797</v>
      </c>
      <c r="X22" s="2">
        <v>77.160817181770597</v>
      </c>
      <c r="Y22" s="2">
        <v>77.160817181770597</v>
      </c>
      <c r="Z22" s="2">
        <v>58.768408287494303</v>
      </c>
      <c r="AA22" s="2">
        <v>77.160817181770597</v>
      </c>
      <c r="AB22" s="2">
        <v>78.112894818650702</v>
      </c>
      <c r="AC22" s="2">
        <v>222382.077895386</v>
      </c>
      <c r="AD22" s="2">
        <v>95.759724000000006</v>
      </c>
      <c r="AE22" s="2">
        <v>28530</v>
      </c>
      <c r="AF22" s="2">
        <v>26924</v>
      </c>
      <c r="AG22" s="2" t="s">
        <v>66</v>
      </c>
      <c r="AH22" s="2" t="s">
        <v>106</v>
      </c>
      <c r="AI22" s="2" t="s">
        <v>47</v>
      </c>
      <c r="AJ22" s="2" t="s">
        <v>48</v>
      </c>
      <c r="AK22" s="2" t="s">
        <v>49</v>
      </c>
      <c r="AL22" s="2" t="s">
        <v>50</v>
      </c>
    </row>
    <row r="23" spans="1:38" x14ac:dyDescent="0.2">
      <c r="A23" s="1">
        <v>0</v>
      </c>
      <c r="B23" s="2">
        <v>2.21</v>
      </c>
      <c r="C23" s="2" t="s">
        <v>44</v>
      </c>
      <c r="D23" s="2" t="s">
        <v>62</v>
      </c>
      <c r="E23" s="2">
        <v>84.454713493530505</v>
      </c>
      <c r="F23" s="2">
        <v>1682</v>
      </c>
      <c r="G23" s="2">
        <v>15.5452865064695</v>
      </c>
      <c r="H23" s="2">
        <v>66.486950181986302</v>
      </c>
      <c r="I23" s="2">
        <v>84.454713493530505</v>
      </c>
      <c r="J23" s="2">
        <v>81.219585125260195</v>
      </c>
      <c r="K23" s="2">
        <v>58.677803097101901</v>
      </c>
      <c r="L23" s="2">
        <v>84.454713493530505</v>
      </c>
      <c r="M23" s="2">
        <v>84.454713493530505</v>
      </c>
      <c r="N23" s="2">
        <v>60.442884312340396</v>
      </c>
      <c r="O23" s="2">
        <v>84.454713493530505</v>
      </c>
      <c r="P23" s="2">
        <v>82.079165980231295</v>
      </c>
      <c r="Q23" s="2">
        <v>85.123101100052395</v>
      </c>
      <c r="R23" s="2">
        <v>284</v>
      </c>
      <c r="S23" s="2">
        <v>14.8768988999476</v>
      </c>
      <c r="T23" s="2">
        <v>68.8025799214806</v>
      </c>
      <c r="U23" s="2">
        <v>85.123101100052395</v>
      </c>
      <c r="V23" s="2">
        <v>82.010678231960199</v>
      </c>
      <c r="W23" s="2">
        <v>59.153087757313102</v>
      </c>
      <c r="X23" s="2">
        <v>85.123101100052395</v>
      </c>
      <c r="Y23" s="2">
        <v>85.123101100052395</v>
      </c>
      <c r="Z23" s="2">
        <v>61.199186991869901</v>
      </c>
      <c r="AA23" s="2">
        <v>85.123101100052395</v>
      </c>
      <c r="AB23" s="2">
        <v>82.601434369503494</v>
      </c>
      <c r="AC23" s="2">
        <v>229753.25943857001</v>
      </c>
      <c r="AD23" s="2">
        <v>54.462150999999999</v>
      </c>
      <c r="AE23" s="2">
        <v>12302</v>
      </c>
      <c r="AF23" s="2">
        <v>10172</v>
      </c>
      <c r="AG23" s="2" t="s">
        <v>67</v>
      </c>
      <c r="AH23" s="2" t="s">
        <v>106</v>
      </c>
      <c r="AI23" s="2" t="s">
        <v>47</v>
      </c>
      <c r="AJ23" s="2" t="s">
        <v>48</v>
      </c>
      <c r="AK23" s="2" t="s">
        <v>49</v>
      </c>
      <c r="AL23" s="2" t="s">
        <v>50</v>
      </c>
    </row>
    <row r="24" spans="1:38" x14ac:dyDescent="0.2">
      <c r="A24" s="1">
        <v>0</v>
      </c>
      <c r="B24" s="2">
        <v>2.2200000000000002</v>
      </c>
      <c r="C24" s="2" t="s">
        <v>44</v>
      </c>
      <c r="D24" s="2" t="s">
        <v>62</v>
      </c>
      <c r="E24" s="2">
        <v>84.306839186691306</v>
      </c>
      <c r="F24" s="2">
        <v>1698</v>
      </c>
      <c r="G24" s="2">
        <v>15.693160813308699</v>
      </c>
      <c r="H24" s="2">
        <v>66.060467716713404</v>
      </c>
      <c r="I24" s="2">
        <v>84.306839186691306</v>
      </c>
      <c r="J24" s="2">
        <v>81.099469201734294</v>
      </c>
      <c r="K24" s="2">
        <v>58.693271359676402</v>
      </c>
      <c r="L24" s="2">
        <v>84.306839186691306</v>
      </c>
      <c r="M24" s="2">
        <v>84.306839186691306</v>
      </c>
      <c r="N24" s="2">
        <v>60.414262273083501</v>
      </c>
      <c r="O24" s="2">
        <v>84.306839186691306</v>
      </c>
      <c r="P24" s="2">
        <v>82.004556614716293</v>
      </c>
      <c r="Q24" s="2">
        <v>85.489785227867998</v>
      </c>
      <c r="R24" s="2">
        <v>277</v>
      </c>
      <c r="S24" s="2">
        <v>14.510214772132001</v>
      </c>
      <c r="T24" s="2">
        <v>70.3720537983002</v>
      </c>
      <c r="U24" s="2">
        <v>85.489785227867998</v>
      </c>
      <c r="V24" s="2">
        <v>82.2483735681013</v>
      </c>
      <c r="W24" s="2">
        <v>58.060888407367301</v>
      </c>
      <c r="X24" s="2">
        <v>85.489785227867998</v>
      </c>
      <c r="Y24" s="2">
        <v>85.489785227867998</v>
      </c>
      <c r="Z24" s="2">
        <v>59.991601756821701</v>
      </c>
      <c r="AA24" s="2">
        <v>85.489785227867998</v>
      </c>
      <c r="AB24" s="2">
        <v>82.427995480360494</v>
      </c>
      <c r="AC24" s="2">
        <v>232713.19496720101</v>
      </c>
      <c r="AD24" s="2">
        <v>69.776713999999998</v>
      </c>
      <c r="AE24" s="2">
        <v>14074</v>
      </c>
      <c r="AF24" s="2">
        <v>11420</v>
      </c>
      <c r="AG24" s="2" t="s">
        <v>68</v>
      </c>
      <c r="AH24" s="2" t="s">
        <v>106</v>
      </c>
      <c r="AI24" s="2" t="s">
        <v>47</v>
      </c>
      <c r="AJ24" s="2" t="s">
        <v>48</v>
      </c>
      <c r="AK24" s="2" t="s">
        <v>49</v>
      </c>
      <c r="AL24" s="2" t="s">
        <v>50</v>
      </c>
    </row>
    <row r="25" spans="1:38" x14ac:dyDescent="0.2">
      <c r="A25" s="1">
        <v>0</v>
      </c>
      <c r="B25" s="2">
        <v>2.23</v>
      </c>
      <c r="C25" s="2" t="s">
        <v>44</v>
      </c>
      <c r="D25" s="2" t="s">
        <v>69</v>
      </c>
      <c r="E25" s="2">
        <v>85.120147874306795</v>
      </c>
      <c r="F25" s="2">
        <v>1610</v>
      </c>
      <c r="G25" s="2">
        <v>14.879852125693199</v>
      </c>
      <c r="H25" s="2">
        <v>92.558698465520393</v>
      </c>
      <c r="I25" s="2">
        <v>85.120147874306795</v>
      </c>
      <c r="J25" s="2">
        <v>87.334657203421798</v>
      </c>
      <c r="K25" s="2">
        <v>50.062034739454099</v>
      </c>
      <c r="L25" s="2">
        <v>85.120147874306795</v>
      </c>
      <c r="M25" s="2">
        <v>85.120147874306795</v>
      </c>
      <c r="N25" s="2">
        <v>46.104141443880103</v>
      </c>
      <c r="O25" s="2">
        <v>85.120147874306795</v>
      </c>
      <c r="P25" s="2">
        <v>78.296796760578104</v>
      </c>
      <c r="Q25" s="2">
        <v>85.175484546883197</v>
      </c>
      <c r="R25" s="2">
        <v>283</v>
      </c>
      <c r="S25" s="2">
        <v>14.824515453116801</v>
      </c>
      <c r="T25" s="2">
        <v>92.583857442348005</v>
      </c>
      <c r="U25" s="2">
        <v>85.175484546883197</v>
      </c>
      <c r="V25" s="2">
        <v>87.374298945851805</v>
      </c>
      <c r="W25" s="2">
        <v>50.176056338028197</v>
      </c>
      <c r="X25" s="2">
        <v>85.175484546883197</v>
      </c>
      <c r="Y25" s="2">
        <v>85.175484546883197</v>
      </c>
      <c r="Z25" s="2">
        <v>46.3457823727164</v>
      </c>
      <c r="AA25" s="2">
        <v>85.175484546883197</v>
      </c>
      <c r="AB25" s="2">
        <v>78.408978564562204</v>
      </c>
      <c r="AC25" s="2">
        <v>57536.665000478599</v>
      </c>
      <c r="AD25" s="2">
        <v>65.589530999999994</v>
      </c>
      <c r="AE25" s="2">
        <v>19260</v>
      </c>
      <c r="AF25" s="2">
        <v>27190</v>
      </c>
      <c r="AG25" s="2" t="s">
        <v>70</v>
      </c>
      <c r="AH25" s="2" t="s">
        <v>106</v>
      </c>
      <c r="AI25" s="2" t="s">
        <v>47</v>
      </c>
      <c r="AJ25" s="2" t="s">
        <v>48</v>
      </c>
      <c r="AK25" s="2" t="s">
        <v>49</v>
      </c>
      <c r="AL25" s="2" t="s">
        <v>50</v>
      </c>
    </row>
    <row r="26" spans="1:38" x14ac:dyDescent="0.2">
      <c r="A26" s="1">
        <v>0</v>
      </c>
      <c r="B26" s="2">
        <v>2.2400000000000002</v>
      </c>
      <c r="C26" s="2" t="s">
        <v>44</v>
      </c>
      <c r="D26" s="2" t="s">
        <v>69</v>
      </c>
      <c r="E26" s="2">
        <v>85.443622920517598</v>
      </c>
      <c r="F26" s="2">
        <v>1575</v>
      </c>
      <c r="G26" s="2">
        <v>14.556377079482401</v>
      </c>
      <c r="H26" s="2">
        <v>71.592794646191905</v>
      </c>
      <c r="I26" s="2">
        <v>85.443622920517598</v>
      </c>
      <c r="J26" s="2">
        <v>81.813398062917898</v>
      </c>
      <c r="K26" s="2">
        <v>54.039008586772098</v>
      </c>
      <c r="L26" s="2">
        <v>85.443622920517598</v>
      </c>
      <c r="M26" s="2">
        <v>85.443622920517598</v>
      </c>
      <c r="N26" s="2">
        <v>54.015684290412302</v>
      </c>
      <c r="O26" s="2">
        <v>85.443622920517598</v>
      </c>
      <c r="P26" s="2">
        <v>80.703959509448595</v>
      </c>
      <c r="Q26" s="2">
        <v>85.123101100052395</v>
      </c>
      <c r="R26" s="2">
        <v>284</v>
      </c>
      <c r="S26" s="2">
        <v>14.8768988999476</v>
      </c>
      <c r="T26" s="2">
        <v>68.053311793214903</v>
      </c>
      <c r="U26" s="2">
        <v>85.123101100052395</v>
      </c>
      <c r="V26" s="2">
        <v>80.735077699291907</v>
      </c>
      <c r="W26" s="2">
        <v>53.777464788732402</v>
      </c>
      <c r="X26" s="2">
        <v>85.123101100052395</v>
      </c>
      <c r="Y26" s="2">
        <v>85.123101100052395</v>
      </c>
      <c r="Z26" s="2">
        <v>53.6599792128224</v>
      </c>
      <c r="AA26" s="2">
        <v>85.123101100052395</v>
      </c>
      <c r="AB26" s="2">
        <v>80.482640656417701</v>
      </c>
      <c r="AC26" s="2">
        <v>58314.065977892402</v>
      </c>
      <c r="AD26" s="2">
        <v>51.361924000000002</v>
      </c>
      <c r="AE26" s="2">
        <v>19294</v>
      </c>
      <c r="AF26" s="2">
        <v>27190</v>
      </c>
      <c r="AG26" s="2" t="s">
        <v>71</v>
      </c>
      <c r="AH26" s="2" t="s">
        <v>106</v>
      </c>
      <c r="AI26" s="2" t="s">
        <v>47</v>
      </c>
      <c r="AJ26" s="2" t="s">
        <v>48</v>
      </c>
      <c r="AK26" s="2" t="s">
        <v>49</v>
      </c>
      <c r="AL26" s="2" t="s">
        <v>50</v>
      </c>
    </row>
    <row r="27" spans="1:38" x14ac:dyDescent="0.2">
      <c r="A27" s="1">
        <v>0</v>
      </c>
      <c r="B27" s="2">
        <v>2.2999999999999998</v>
      </c>
      <c r="C27" s="2" t="s">
        <v>44</v>
      </c>
      <c r="D27" s="2" t="s">
        <v>45</v>
      </c>
      <c r="E27" s="2">
        <v>85.221811460258806</v>
      </c>
      <c r="F27" s="2">
        <v>1599</v>
      </c>
      <c r="G27" s="2">
        <v>14.778188539741199</v>
      </c>
      <c r="H27" s="2">
        <v>75.977800451411397</v>
      </c>
      <c r="I27" s="2">
        <v>85.221811460258806</v>
      </c>
      <c r="J27" s="2">
        <v>82.514526165729507</v>
      </c>
      <c r="K27" s="2">
        <v>50.735860822286398</v>
      </c>
      <c r="L27" s="2">
        <v>85.221811460258806</v>
      </c>
      <c r="M27" s="2">
        <v>85.221811460258806</v>
      </c>
      <c r="N27" s="2">
        <v>47.575103314697103</v>
      </c>
      <c r="O27" s="2">
        <v>85.221811460258806</v>
      </c>
      <c r="P27" s="2">
        <v>78.763280332222095</v>
      </c>
      <c r="Q27" s="2">
        <v>85.489785227867998</v>
      </c>
      <c r="R27" s="2">
        <v>277</v>
      </c>
      <c r="S27" s="2">
        <v>14.510214772132001</v>
      </c>
      <c r="T27" s="2">
        <v>92.718191377497405</v>
      </c>
      <c r="U27" s="2">
        <v>85.489785227867998</v>
      </c>
      <c r="V27" s="2">
        <v>87.602997368709495</v>
      </c>
      <c r="W27" s="2">
        <v>51.232394366197198</v>
      </c>
      <c r="X27" s="2">
        <v>85.489785227867998</v>
      </c>
      <c r="Y27" s="2">
        <v>85.489785227867998</v>
      </c>
      <c r="Z27" s="2">
        <v>48.478648267610602</v>
      </c>
      <c r="AA27" s="2">
        <v>85.489785227867998</v>
      </c>
      <c r="AB27" s="2">
        <v>79.153515179665703</v>
      </c>
      <c r="AC27" s="2">
        <v>498250.138146988</v>
      </c>
      <c r="AD27" s="2">
        <v>0.89746599999999999</v>
      </c>
      <c r="AE27" s="2">
        <v>7481</v>
      </c>
      <c r="AF27" s="2">
        <v>6088</v>
      </c>
      <c r="AG27" s="2" t="s">
        <v>72</v>
      </c>
      <c r="AH27" s="2" t="s">
        <v>106</v>
      </c>
      <c r="AI27" s="2" t="s">
        <v>47</v>
      </c>
      <c r="AJ27" s="2" t="s">
        <v>48</v>
      </c>
      <c r="AK27" s="2" t="s">
        <v>49</v>
      </c>
      <c r="AL27" s="2" t="s">
        <v>50</v>
      </c>
    </row>
    <row r="28" spans="1:38" x14ac:dyDescent="0.2">
      <c r="A28" s="1">
        <v>0</v>
      </c>
      <c r="B28" s="2">
        <v>2.4</v>
      </c>
      <c r="C28" s="2" t="s">
        <v>44</v>
      </c>
      <c r="D28" s="2" t="s">
        <v>73</v>
      </c>
      <c r="E28" s="2">
        <v>86.072088724584106</v>
      </c>
      <c r="F28" s="2">
        <v>1507</v>
      </c>
      <c r="G28" s="2">
        <v>13.9279112754159</v>
      </c>
      <c r="H28" s="2">
        <v>73.394451293619795</v>
      </c>
      <c r="I28" s="2">
        <v>86.072088724584106</v>
      </c>
      <c r="J28" s="2">
        <v>83.3406745869068</v>
      </c>
      <c r="K28" s="2">
        <v>59.193079488544903</v>
      </c>
      <c r="L28" s="2">
        <v>86.072088724584106</v>
      </c>
      <c r="M28" s="2">
        <v>86.072088724584106</v>
      </c>
      <c r="N28" s="2">
        <v>61.579383487952498</v>
      </c>
      <c r="O28" s="2">
        <v>86.072088724584106</v>
      </c>
      <c r="P28" s="2">
        <v>83.115046062029805</v>
      </c>
      <c r="Q28" s="2">
        <v>86.537454164484004</v>
      </c>
      <c r="R28" s="2">
        <v>257</v>
      </c>
      <c r="S28" s="2">
        <v>13.462545835516</v>
      </c>
      <c r="T28" s="2">
        <v>75.713209442491205</v>
      </c>
      <c r="U28" s="2">
        <v>86.537454164484004</v>
      </c>
      <c r="V28" s="2">
        <v>84.1967349668585</v>
      </c>
      <c r="W28" s="2">
        <v>59.983856988082302</v>
      </c>
      <c r="X28" s="2">
        <v>86.537454164484004</v>
      </c>
      <c r="Y28" s="2">
        <v>86.537454164484004</v>
      </c>
      <c r="Z28" s="2">
        <v>62.708183687352999</v>
      </c>
      <c r="AA28" s="2">
        <v>86.537454164484004</v>
      </c>
      <c r="AB28" s="2">
        <v>83.648584545696806</v>
      </c>
      <c r="AC28" s="2">
        <v>190111.39614154701</v>
      </c>
      <c r="AD28" s="2">
        <v>2.4687480000000002</v>
      </c>
      <c r="AE28" s="2">
        <v>3808698</v>
      </c>
      <c r="AF28" s="2">
        <v>12647</v>
      </c>
      <c r="AG28" s="2" t="s">
        <v>47</v>
      </c>
      <c r="AH28" s="2" t="s">
        <v>106</v>
      </c>
      <c r="AI28" s="2" t="s">
        <v>47</v>
      </c>
      <c r="AJ28" s="2" t="s">
        <v>48</v>
      </c>
      <c r="AK28" s="2" t="s">
        <v>49</v>
      </c>
      <c r="AL28" s="2" t="s">
        <v>50</v>
      </c>
    </row>
    <row r="29" spans="1:38" x14ac:dyDescent="0.2">
      <c r="A29" s="1">
        <v>0</v>
      </c>
      <c r="B29" s="2">
        <v>2.5</v>
      </c>
      <c r="C29" s="2" t="s">
        <v>44</v>
      </c>
      <c r="D29" s="2" t="s">
        <v>74</v>
      </c>
      <c r="E29" s="2">
        <v>85.101663585951897</v>
      </c>
      <c r="F29" s="2">
        <v>1612</v>
      </c>
      <c r="G29" s="2">
        <v>14.898336414048099</v>
      </c>
      <c r="H29" s="2" t="s">
        <v>52</v>
      </c>
      <c r="I29" s="2">
        <v>85.101663585951897</v>
      </c>
      <c r="J29" s="2" t="s">
        <v>52</v>
      </c>
      <c r="K29" s="2">
        <v>50</v>
      </c>
      <c r="L29" s="2">
        <v>85.101663585951897</v>
      </c>
      <c r="M29" s="2">
        <v>85.101663585951897</v>
      </c>
      <c r="N29" s="2">
        <v>45.975634112242901</v>
      </c>
      <c r="O29" s="2">
        <v>85.101663585951897</v>
      </c>
      <c r="P29" s="2">
        <v>78.252058947418206</v>
      </c>
      <c r="Q29" s="2">
        <v>85.123101100052395</v>
      </c>
      <c r="R29" s="2">
        <v>284</v>
      </c>
      <c r="S29" s="2">
        <v>14.8768988999476</v>
      </c>
      <c r="T29" s="2" t="s">
        <v>52</v>
      </c>
      <c r="U29" s="2">
        <v>85.123101100052395</v>
      </c>
      <c r="V29" s="2" t="s">
        <v>52</v>
      </c>
      <c r="W29" s="2">
        <v>50</v>
      </c>
      <c r="X29" s="2">
        <v>85.123101100052395</v>
      </c>
      <c r="Y29" s="2">
        <v>85.123101100052395</v>
      </c>
      <c r="Z29" s="2">
        <v>45.9818902093945</v>
      </c>
      <c r="AA29" s="2">
        <v>85.123101100052395</v>
      </c>
      <c r="AB29" s="2">
        <v>78.282421781315904</v>
      </c>
      <c r="AC29" s="2">
        <v>486139.19216426299</v>
      </c>
      <c r="AD29" s="2">
        <v>1.1099410000000001</v>
      </c>
      <c r="AE29" s="2">
        <v>13358</v>
      </c>
      <c r="AF29" s="2">
        <v>5998</v>
      </c>
      <c r="AG29" s="2" t="s">
        <v>75</v>
      </c>
      <c r="AH29" s="2" t="s">
        <v>106</v>
      </c>
      <c r="AI29" s="2" t="s">
        <v>47</v>
      </c>
      <c r="AJ29" s="2" t="s">
        <v>48</v>
      </c>
      <c r="AK29" s="2" t="s">
        <v>49</v>
      </c>
      <c r="AL29" s="2" t="s">
        <v>50</v>
      </c>
    </row>
    <row r="30" spans="1:38" x14ac:dyDescent="0.2">
      <c r="A30" s="1">
        <v>0</v>
      </c>
      <c r="B30" s="2">
        <v>2.6</v>
      </c>
      <c r="C30" s="2" t="s">
        <v>44</v>
      </c>
      <c r="D30" s="2" t="s">
        <v>76</v>
      </c>
      <c r="E30" s="2">
        <v>85.101663585951897</v>
      </c>
      <c r="F30" s="2">
        <v>1612</v>
      </c>
      <c r="G30" s="2">
        <v>14.898336414048099</v>
      </c>
      <c r="H30" s="2" t="s">
        <v>52</v>
      </c>
      <c r="I30" s="2">
        <v>85.101663585951897</v>
      </c>
      <c r="J30" s="2" t="s">
        <v>52</v>
      </c>
      <c r="K30" s="2">
        <v>50</v>
      </c>
      <c r="L30" s="2">
        <v>85.101663585951897</v>
      </c>
      <c r="M30" s="2">
        <v>85.101663585951897</v>
      </c>
      <c r="N30" s="2">
        <v>45.975634112242901</v>
      </c>
      <c r="O30" s="2">
        <v>85.101663585951897</v>
      </c>
      <c r="P30" s="2">
        <v>78.252058947418206</v>
      </c>
      <c r="Q30" s="2">
        <v>85.123101100052395</v>
      </c>
      <c r="R30" s="2">
        <v>284</v>
      </c>
      <c r="S30" s="2">
        <v>14.8768988999476</v>
      </c>
      <c r="T30" s="2" t="s">
        <v>52</v>
      </c>
      <c r="U30" s="2">
        <v>85.123101100052395</v>
      </c>
      <c r="V30" s="2" t="s">
        <v>52</v>
      </c>
      <c r="W30" s="2">
        <v>50</v>
      </c>
      <c r="X30" s="2">
        <v>85.123101100052395</v>
      </c>
      <c r="Y30" s="2">
        <v>85.123101100052395</v>
      </c>
      <c r="Z30" s="2">
        <v>45.9818902093945</v>
      </c>
      <c r="AA30" s="2">
        <v>85.123101100052395</v>
      </c>
      <c r="AB30" s="2">
        <v>78.282421781315904</v>
      </c>
      <c r="AC30" s="2">
        <v>419347.33741570398</v>
      </c>
      <c r="AD30" s="2">
        <v>0.81626200000000004</v>
      </c>
      <c r="AE30" s="2">
        <v>13316</v>
      </c>
      <c r="AF30" s="2">
        <v>5998</v>
      </c>
      <c r="AG30" s="2" t="s">
        <v>77</v>
      </c>
      <c r="AH30" s="2" t="s">
        <v>106</v>
      </c>
      <c r="AI30" s="2" t="s">
        <v>47</v>
      </c>
      <c r="AJ30" s="2" t="s">
        <v>48</v>
      </c>
      <c r="AK30" s="2" t="s">
        <v>49</v>
      </c>
      <c r="AL30" s="2" t="s">
        <v>50</v>
      </c>
    </row>
    <row r="31" spans="1:38" x14ac:dyDescent="0.2">
      <c r="A31" s="1">
        <v>0</v>
      </c>
      <c r="B31" s="2">
        <v>2.7</v>
      </c>
      <c r="C31" s="2" t="s">
        <v>44</v>
      </c>
      <c r="D31" s="2" t="s">
        <v>78</v>
      </c>
      <c r="E31" s="2">
        <v>83.622920517560104</v>
      </c>
      <c r="F31" s="2">
        <v>1772</v>
      </c>
      <c r="G31" s="2">
        <v>16.3770794824399</v>
      </c>
      <c r="H31" s="2">
        <v>64.674766474636002</v>
      </c>
      <c r="I31" s="2">
        <v>83.622920517560104</v>
      </c>
      <c r="J31" s="2">
        <v>80.839431581335404</v>
      </c>
      <c r="K31" s="2">
        <v>59.340526524567103</v>
      </c>
      <c r="L31" s="2">
        <v>83.622920517560104</v>
      </c>
      <c r="M31" s="2">
        <v>83.622920517560104</v>
      </c>
      <c r="N31" s="2">
        <v>60.879250926853601</v>
      </c>
      <c r="O31" s="2">
        <v>83.622920517560104</v>
      </c>
      <c r="P31" s="2">
        <v>81.819967800914995</v>
      </c>
      <c r="Q31" s="2">
        <v>83.918281822943996</v>
      </c>
      <c r="R31" s="2">
        <v>307</v>
      </c>
      <c r="S31" s="2">
        <v>16.081718177056</v>
      </c>
      <c r="T31" s="2">
        <v>66.481672913333995</v>
      </c>
      <c r="U31" s="2">
        <v>83.918281822943996</v>
      </c>
      <c r="V31" s="2">
        <v>82.038886850650698</v>
      </c>
      <c r="W31" s="2">
        <v>62.368147345612101</v>
      </c>
      <c r="X31" s="2">
        <v>83.918281822943996</v>
      </c>
      <c r="Y31" s="2">
        <v>83.918281822943896</v>
      </c>
      <c r="Z31" s="2">
        <v>63.872267055111102</v>
      </c>
      <c r="AA31" s="2">
        <v>83.918281822943996</v>
      </c>
      <c r="AB31" s="2">
        <v>82.776420222244596</v>
      </c>
      <c r="AC31" s="2">
        <v>272304.01409336901</v>
      </c>
      <c r="AD31" s="2">
        <v>1.9412450000000001</v>
      </c>
      <c r="AE31" s="2">
        <v>13978</v>
      </c>
      <c r="AF31" s="2">
        <v>12885</v>
      </c>
      <c r="AG31" s="2" t="s">
        <v>79</v>
      </c>
      <c r="AH31" s="2" t="s">
        <v>106</v>
      </c>
      <c r="AI31" s="2" t="s">
        <v>47</v>
      </c>
      <c r="AJ31" s="2" t="s">
        <v>48</v>
      </c>
      <c r="AK31" s="2" t="s">
        <v>49</v>
      </c>
      <c r="AL31" s="2" t="s">
        <v>50</v>
      </c>
    </row>
    <row r="32" spans="1:38" x14ac:dyDescent="0.2">
      <c r="A32" s="1">
        <v>0</v>
      </c>
      <c r="B32" s="2">
        <v>2.8</v>
      </c>
      <c r="C32" s="2" t="s">
        <v>44</v>
      </c>
      <c r="D32" s="2" t="s">
        <v>78</v>
      </c>
      <c r="E32" s="2">
        <v>84.057301293900196</v>
      </c>
      <c r="F32" s="2">
        <v>1725</v>
      </c>
      <c r="G32" s="2">
        <v>15.942698706099801</v>
      </c>
      <c r="H32" s="2">
        <v>64.912361098923199</v>
      </c>
      <c r="I32" s="2">
        <v>84.057301293900196</v>
      </c>
      <c r="J32" s="2">
        <v>80.566286364912997</v>
      </c>
      <c r="K32" s="2">
        <v>57.727865832494402</v>
      </c>
      <c r="L32" s="2">
        <v>84.057301293900196</v>
      </c>
      <c r="M32" s="2">
        <v>84.057301293900196</v>
      </c>
      <c r="N32" s="2">
        <v>59.237270795232597</v>
      </c>
      <c r="O32" s="2">
        <v>84.057301293900196</v>
      </c>
      <c r="P32" s="2">
        <v>81.567361008175695</v>
      </c>
      <c r="Q32" s="2">
        <v>84.337349397590401</v>
      </c>
      <c r="R32" s="2">
        <v>299</v>
      </c>
      <c r="S32" s="2">
        <v>15.662650602409601</v>
      </c>
      <c r="T32" s="2">
        <v>66.584366576819406</v>
      </c>
      <c r="U32" s="2">
        <v>84.337349397590401</v>
      </c>
      <c r="V32" s="2">
        <v>81.547754359757107</v>
      </c>
      <c r="W32" s="2">
        <v>59.999133261105101</v>
      </c>
      <c r="X32" s="2">
        <v>84.337349397590401</v>
      </c>
      <c r="Y32" s="2">
        <v>84.337349397590401</v>
      </c>
      <c r="Z32" s="2">
        <v>61.823192040799299</v>
      </c>
      <c r="AA32" s="2">
        <v>84.337349397590401</v>
      </c>
      <c r="AB32" s="2">
        <v>82.417656580674304</v>
      </c>
      <c r="AC32" s="2">
        <v>755.68379675653796</v>
      </c>
      <c r="AD32" s="2">
        <v>78.467673000000005</v>
      </c>
      <c r="AE32" s="2">
        <v>5608634</v>
      </c>
      <c r="AF32" s="2">
        <v>2783317</v>
      </c>
      <c r="AG32" s="2" t="s">
        <v>80</v>
      </c>
      <c r="AH32" s="2" t="s">
        <v>106</v>
      </c>
      <c r="AI32" s="2" t="s">
        <v>47</v>
      </c>
      <c r="AJ32" s="2" t="s">
        <v>48</v>
      </c>
      <c r="AK32" s="2" t="s">
        <v>49</v>
      </c>
      <c r="AL32" s="2" t="s">
        <v>50</v>
      </c>
    </row>
    <row r="33" spans="1:38" x14ac:dyDescent="0.2">
      <c r="A33" s="1">
        <v>0</v>
      </c>
      <c r="B33" s="2">
        <v>2.9</v>
      </c>
      <c r="C33" s="2" t="s">
        <v>44</v>
      </c>
      <c r="D33" s="2" t="s">
        <v>51</v>
      </c>
      <c r="E33" s="2">
        <v>85.101663585951897</v>
      </c>
      <c r="F33" s="2">
        <v>1612</v>
      </c>
      <c r="G33" s="2">
        <v>14.898336414048099</v>
      </c>
      <c r="H33" s="2" t="s">
        <v>52</v>
      </c>
      <c r="I33" s="2">
        <v>85.101663585951897</v>
      </c>
      <c r="J33" s="2" t="s">
        <v>52</v>
      </c>
      <c r="K33" s="2">
        <v>50</v>
      </c>
      <c r="L33" s="2">
        <v>85.101663585951897</v>
      </c>
      <c r="M33" s="2">
        <v>85.101663585951897</v>
      </c>
      <c r="N33" s="2">
        <v>45.975634112242901</v>
      </c>
      <c r="O33" s="2">
        <v>85.101663585951897</v>
      </c>
      <c r="P33" s="2">
        <v>78.252058947418206</v>
      </c>
      <c r="Q33" s="2">
        <v>85.123101100052395</v>
      </c>
      <c r="R33" s="2">
        <v>284</v>
      </c>
      <c r="S33" s="2">
        <v>14.8768988999476</v>
      </c>
      <c r="T33" s="2" t="s">
        <v>52</v>
      </c>
      <c r="U33" s="2">
        <v>85.123101100052395</v>
      </c>
      <c r="V33" s="2" t="s">
        <v>52</v>
      </c>
      <c r="W33" s="2">
        <v>50</v>
      </c>
      <c r="X33" s="2">
        <v>85.123101100052395</v>
      </c>
      <c r="Y33" s="2">
        <v>85.123101100052395</v>
      </c>
      <c r="Z33" s="2">
        <v>45.9818902093945</v>
      </c>
      <c r="AA33" s="2">
        <v>85.123101100052395</v>
      </c>
      <c r="AB33" s="2">
        <v>78.282421781315904</v>
      </c>
      <c r="AC33" s="2">
        <v>13517.1938205686</v>
      </c>
      <c r="AD33" s="2">
        <v>10.612705</v>
      </c>
      <c r="AE33" s="2">
        <v>643633</v>
      </c>
      <c r="AF33" s="2">
        <v>642320</v>
      </c>
      <c r="AG33" s="2" t="s">
        <v>81</v>
      </c>
      <c r="AH33" s="2" t="s">
        <v>106</v>
      </c>
      <c r="AI33" s="2" t="s">
        <v>47</v>
      </c>
      <c r="AJ33" s="2" t="s">
        <v>48</v>
      </c>
      <c r="AK33" s="2" t="s">
        <v>49</v>
      </c>
      <c r="AL33" s="2" t="s">
        <v>50</v>
      </c>
    </row>
  </sheetData>
  <sortState xmlns:xlrd2="http://schemas.microsoft.com/office/spreadsheetml/2017/richdata2" ref="A10:AL33">
    <sortCondition ref="B10:B33"/>
  </sortState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30E9-9BDD-45FB-9741-E1EB09F203D7}">
  <dimension ref="A1:AM33"/>
  <sheetViews>
    <sheetView workbookViewId="0">
      <selection activeCell="G24" sqref="G24"/>
    </sheetView>
  </sheetViews>
  <sheetFormatPr baseColWidth="10" defaultColWidth="11" defaultRowHeight="16" x14ac:dyDescent="0.2"/>
  <sheetData>
    <row r="1" spans="1:39" ht="27" x14ac:dyDescent="0.2">
      <c r="A1" s="5" t="s">
        <v>0</v>
      </c>
      <c r="B1" s="6" t="s">
        <v>110</v>
      </c>
      <c r="C1" s="6" t="s">
        <v>110</v>
      </c>
      <c r="D1" s="6" t="s">
        <v>110</v>
      </c>
      <c r="E1" s="6" t="s">
        <v>110</v>
      </c>
      <c r="F1" s="6" t="s">
        <v>110</v>
      </c>
      <c r="G1" s="6" t="s">
        <v>110</v>
      </c>
      <c r="H1" s="6" t="s">
        <v>110</v>
      </c>
      <c r="I1" s="6" t="s">
        <v>110</v>
      </c>
      <c r="J1" s="6" t="s">
        <v>110</v>
      </c>
      <c r="K1" s="6" t="s">
        <v>110</v>
      </c>
      <c r="L1" s="6" t="s">
        <v>110</v>
      </c>
      <c r="M1" s="6" t="s">
        <v>110</v>
      </c>
      <c r="N1" s="6" t="s">
        <v>110</v>
      </c>
      <c r="O1" s="6" t="s">
        <v>110</v>
      </c>
      <c r="P1" s="6" t="s">
        <v>110</v>
      </c>
      <c r="Q1" s="6" t="s">
        <v>110</v>
      </c>
      <c r="R1" s="6" t="s">
        <v>110</v>
      </c>
      <c r="S1" s="6" t="s">
        <v>110</v>
      </c>
      <c r="T1" s="6" t="s">
        <v>110</v>
      </c>
      <c r="U1" s="6" t="s">
        <v>110</v>
      </c>
      <c r="V1" s="6" t="s">
        <v>110</v>
      </c>
      <c r="W1" s="6" t="s">
        <v>110</v>
      </c>
      <c r="X1" s="6" t="s">
        <v>110</v>
      </c>
      <c r="Y1" s="6" t="s">
        <v>110</v>
      </c>
      <c r="Z1" s="6" t="s">
        <v>110</v>
      </c>
      <c r="AA1" s="6" t="s">
        <v>110</v>
      </c>
      <c r="AB1" s="6" t="s">
        <v>110</v>
      </c>
      <c r="AC1" s="6" t="s">
        <v>110</v>
      </c>
      <c r="AD1" s="6" t="s">
        <v>110</v>
      </c>
      <c r="AE1" s="6" t="s">
        <v>110</v>
      </c>
      <c r="AF1" s="6" t="s">
        <v>110</v>
      </c>
      <c r="AG1" s="6" t="s">
        <v>110</v>
      </c>
      <c r="AH1" s="6" t="s">
        <v>110</v>
      </c>
      <c r="AI1" s="6" t="s">
        <v>110</v>
      </c>
      <c r="AJ1" s="6" t="s">
        <v>110</v>
      </c>
      <c r="AK1" s="6" t="s">
        <v>110</v>
      </c>
      <c r="AL1" s="6" t="s">
        <v>110</v>
      </c>
      <c r="AM1" s="6" t="s">
        <v>110</v>
      </c>
    </row>
    <row r="2" spans="1:39" x14ac:dyDescent="0.2">
      <c r="A2" s="7">
        <v>0</v>
      </c>
      <c r="B2" s="10">
        <v>2.1</v>
      </c>
      <c r="C2" s="10" t="s">
        <v>45</v>
      </c>
      <c r="D2" s="10" t="s">
        <v>44</v>
      </c>
      <c r="E2" s="10">
        <v>84.500924214417793</v>
      </c>
      <c r="F2" s="10">
        <v>1677</v>
      </c>
      <c r="G2" s="10">
        <v>84.389732844421204</v>
      </c>
      <c r="H2" s="10">
        <v>298</v>
      </c>
      <c r="I2" s="10" t="s">
        <v>83</v>
      </c>
      <c r="J2" s="10">
        <v>15.4990757855822</v>
      </c>
      <c r="K2" s="10">
        <v>66.727622305022294</v>
      </c>
      <c r="L2" s="10">
        <v>84.500924214417793</v>
      </c>
      <c r="M2" s="10">
        <v>81.348155259729694</v>
      </c>
      <c r="N2" s="10">
        <v>58.960826490288902</v>
      </c>
      <c r="O2" s="10">
        <v>84.500924214417793</v>
      </c>
      <c r="P2" s="10">
        <v>84.500924214417694</v>
      </c>
      <c r="Q2" s="10">
        <v>60.7758941681479</v>
      </c>
      <c r="R2" s="10">
        <v>84.500924214417793</v>
      </c>
      <c r="S2" s="10">
        <v>82.191857119005405</v>
      </c>
      <c r="T2" s="10">
        <v>15.6102671555788</v>
      </c>
      <c r="U2" s="10">
        <v>66.578984812629201</v>
      </c>
      <c r="V2" s="10">
        <v>84.389732844421204</v>
      </c>
      <c r="W2" s="10">
        <v>81.460114476575001</v>
      </c>
      <c r="X2" s="10">
        <v>59.594041170097498</v>
      </c>
      <c r="Y2" s="10">
        <v>84.389732844421204</v>
      </c>
      <c r="Z2" s="10">
        <v>84.389732844421104</v>
      </c>
      <c r="AA2" s="10">
        <v>61.4200109592608</v>
      </c>
      <c r="AB2" s="10">
        <v>84.389732844421204</v>
      </c>
      <c r="AC2" s="10">
        <v>82.331346361840602</v>
      </c>
      <c r="AD2" s="10">
        <v>446351.223134359</v>
      </c>
      <c r="AE2" s="10">
        <v>3.8575390000000001</v>
      </c>
      <c r="AF2" s="10">
        <v>33703</v>
      </c>
      <c r="AG2" s="10">
        <v>24990</v>
      </c>
      <c r="AH2" s="10" t="s">
        <v>46</v>
      </c>
      <c r="AI2" s="10" t="s">
        <v>111</v>
      </c>
      <c r="AJ2" s="10" t="s">
        <v>47</v>
      </c>
      <c r="AK2" s="10" t="s">
        <v>48</v>
      </c>
      <c r="AL2" s="10" t="s">
        <v>49</v>
      </c>
      <c r="AM2" s="10" t="s">
        <v>50</v>
      </c>
    </row>
    <row r="3" spans="1:39" x14ac:dyDescent="0.2">
      <c r="A3" s="7">
        <v>0</v>
      </c>
      <c r="B3" s="10">
        <v>2.1</v>
      </c>
      <c r="C3" s="10" t="s">
        <v>51</v>
      </c>
      <c r="D3" s="10" t="s">
        <v>44</v>
      </c>
      <c r="E3" s="10">
        <v>85.600739371534203</v>
      </c>
      <c r="F3" s="10">
        <v>1558</v>
      </c>
      <c r="G3" s="10">
        <v>85.385018334206407</v>
      </c>
      <c r="H3" s="10">
        <v>279</v>
      </c>
      <c r="I3" s="10" t="s">
        <v>84</v>
      </c>
      <c r="J3" s="10">
        <v>14.3992606284658</v>
      </c>
      <c r="K3" s="10">
        <v>78.2751673022955</v>
      </c>
      <c r="L3" s="10">
        <v>85.600739371534203</v>
      </c>
      <c r="M3" s="10">
        <v>83.5445844839183</v>
      </c>
      <c r="N3" s="10">
        <v>52.647255703854498</v>
      </c>
      <c r="O3" s="10">
        <v>85.600739371534203</v>
      </c>
      <c r="P3" s="10">
        <v>85.600739371534203</v>
      </c>
      <c r="Q3" s="10">
        <v>51.366319550026603</v>
      </c>
      <c r="R3" s="10">
        <v>85.600739371534203</v>
      </c>
      <c r="S3" s="10">
        <v>80.011908111843297</v>
      </c>
      <c r="T3" s="10">
        <v>14.6149816657936</v>
      </c>
      <c r="U3" s="10">
        <v>79.0928249832359</v>
      </c>
      <c r="V3" s="10">
        <v>85.385018334206407</v>
      </c>
      <c r="W3" s="10">
        <v>83.564383692113196</v>
      </c>
      <c r="X3" s="10">
        <v>51.316143011917703</v>
      </c>
      <c r="Y3" s="10">
        <v>85.385018334206407</v>
      </c>
      <c r="Z3" s="10">
        <v>85.385018334206407</v>
      </c>
      <c r="AA3" s="10">
        <v>48.752170963691398</v>
      </c>
      <c r="AB3" s="10">
        <v>85.385018334206407</v>
      </c>
      <c r="AC3" s="10">
        <v>79.188756046628598</v>
      </c>
      <c r="AD3" s="10">
        <v>12143.686068880101</v>
      </c>
      <c r="AE3" s="10">
        <v>109.733176</v>
      </c>
      <c r="AF3" s="10">
        <v>699947</v>
      </c>
      <c r="AG3" s="10">
        <v>699042</v>
      </c>
      <c r="AH3" s="10" t="s">
        <v>53</v>
      </c>
      <c r="AI3" s="10" t="s">
        <v>111</v>
      </c>
      <c r="AJ3" s="10" t="s">
        <v>47</v>
      </c>
      <c r="AK3" s="10" t="s">
        <v>48</v>
      </c>
      <c r="AL3" s="10" t="s">
        <v>49</v>
      </c>
      <c r="AM3" s="10" t="s">
        <v>50</v>
      </c>
    </row>
    <row r="4" spans="1:39" x14ac:dyDescent="0.2">
      <c r="A4" s="7">
        <v>0</v>
      </c>
      <c r="B4" s="10">
        <v>2.11</v>
      </c>
      <c r="C4" s="10" t="s">
        <v>51</v>
      </c>
      <c r="D4" s="10" t="s">
        <v>44</v>
      </c>
      <c r="E4" s="10">
        <v>83.863216266173794</v>
      </c>
      <c r="F4" s="10">
        <v>1746</v>
      </c>
      <c r="G4" s="10">
        <v>84.442116291252006</v>
      </c>
      <c r="H4" s="10">
        <v>297</v>
      </c>
      <c r="I4" s="10" t="s">
        <v>85</v>
      </c>
      <c r="J4" s="10">
        <v>16.136783733826199</v>
      </c>
      <c r="K4" s="10">
        <v>65.107277234968393</v>
      </c>
      <c r="L4" s="10">
        <v>83.863216266173794</v>
      </c>
      <c r="M4" s="10">
        <v>80.916211198687407</v>
      </c>
      <c r="N4" s="10">
        <v>59.123485781055599</v>
      </c>
      <c r="O4" s="10">
        <v>83.863216266173794</v>
      </c>
      <c r="P4" s="10">
        <v>83.863216266173794</v>
      </c>
      <c r="Q4" s="10">
        <v>60.737122200389798</v>
      </c>
      <c r="R4" s="10">
        <v>83.863216266173794</v>
      </c>
      <c r="S4" s="10">
        <v>81.891482812588094</v>
      </c>
      <c r="T4" s="10">
        <v>15.557883708747999</v>
      </c>
      <c r="U4" s="10">
        <v>66.526819726140204</v>
      </c>
      <c r="V4" s="10">
        <v>84.442116291252006</v>
      </c>
      <c r="W4" s="10">
        <v>81.329292119125299</v>
      </c>
      <c r="X4" s="10">
        <v>59.043661971831</v>
      </c>
      <c r="Y4" s="10">
        <v>84.442116291252006</v>
      </c>
      <c r="Z4" s="10">
        <v>84.442116291251907</v>
      </c>
      <c r="AA4" s="10">
        <v>60.8432432731082</v>
      </c>
      <c r="AB4" s="10">
        <v>84.442116291252006</v>
      </c>
      <c r="AC4" s="10">
        <v>82.196879384667398</v>
      </c>
      <c r="AD4" s="10">
        <v>18978.826855916999</v>
      </c>
      <c r="AE4" s="10">
        <v>113.108879</v>
      </c>
      <c r="AF4" s="10">
        <v>744459</v>
      </c>
      <c r="AG4" s="10">
        <v>743554</v>
      </c>
      <c r="AH4" s="10" t="s">
        <v>54</v>
      </c>
      <c r="AI4" s="10" t="s">
        <v>111</v>
      </c>
      <c r="AJ4" s="10" t="s">
        <v>47</v>
      </c>
      <c r="AK4" s="10" t="s">
        <v>48</v>
      </c>
      <c r="AL4" s="10" t="s">
        <v>49</v>
      </c>
      <c r="AM4" s="10" t="s">
        <v>50</v>
      </c>
    </row>
    <row r="5" spans="1:39" x14ac:dyDescent="0.2">
      <c r="A5" s="7">
        <v>0</v>
      </c>
      <c r="B5" s="10">
        <v>2.12</v>
      </c>
      <c r="C5" s="10" t="s">
        <v>51</v>
      </c>
      <c r="D5" s="10" t="s">
        <v>44</v>
      </c>
      <c r="E5" s="10">
        <v>85.101663585951897</v>
      </c>
      <c r="F5" s="10">
        <v>1612</v>
      </c>
      <c r="G5" s="10">
        <v>85.123101100052395</v>
      </c>
      <c r="H5" s="10">
        <v>284</v>
      </c>
      <c r="I5" s="10" t="s">
        <v>86</v>
      </c>
      <c r="J5" s="10">
        <v>14.898336414048099</v>
      </c>
      <c r="K5" s="10" t="s">
        <v>52</v>
      </c>
      <c r="L5" s="10">
        <v>85.101663585951897</v>
      </c>
      <c r="M5" s="10" t="s">
        <v>52</v>
      </c>
      <c r="N5" s="10">
        <v>50</v>
      </c>
      <c r="O5" s="10">
        <v>85.101663585951897</v>
      </c>
      <c r="P5" s="10">
        <v>85.101663585951897</v>
      </c>
      <c r="Q5" s="10">
        <v>45.975634112242901</v>
      </c>
      <c r="R5" s="10">
        <v>85.101663585951897</v>
      </c>
      <c r="S5" s="10">
        <v>78.252058947418206</v>
      </c>
      <c r="T5" s="10">
        <v>14.8768988999476</v>
      </c>
      <c r="U5" s="10" t="s">
        <v>52</v>
      </c>
      <c r="V5" s="10">
        <v>85.123101100052395</v>
      </c>
      <c r="W5" s="10" t="s">
        <v>52</v>
      </c>
      <c r="X5" s="10">
        <v>50</v>
      </c>
      <c r="Y5" s="10">
        <v>85.123101100052395</v>
      </c>
      <c r="Z5" s="10">
        <v>85.123101100052395</v>
      </c>
      <c r="AA5" s="10">
        <v>45.9818902093945</v>
      </c>
      <c r="AB5" s="10">
        <v>85.123101100052395</v>
      </c>
      <c r="AC5" s="10">
        <v>78.282421781315904</v>
      </c>
      <c r="AD5" s="10">
        <v>4109.3918593782801</v>
      </c>
      <c r="AE5" s="10">
        <v>54.922066999999998</v>
      </c>
      <c r="AF5" s="10">
        <v>2258279</v>
      </c>
      <c r="AG5" s="10">
        <v>2257378</v>
      </c>
      <c r="AH5" s="10" t="s">
        <v>107</v>
      </c>
      <c r="AI5" s="10" t="s">
        <v>111</v>
      </c>
      <c r="AJ5" s="10" t="s">
        <v>47</v>
      </c>
      <c r="AK5" s="10" t="s">
        <v>48</v>
      </c>
      <c r="AL5" s="10" t="s">
        <v>49</v>
      </c>
      <c r="AM5" s="10" t="s">
        <v>50</v>
      </c>
    </row>
    <row r="6" spans="1:39" x14ac:dyDescent="0.2">
      <c r="A6" s="7">
        <v>0</v>
      </c>
      <c r="B6" s="10">
        <v>2.13</v>
      </c>
      <c r="C6" s="10" t="s">
        <v>51</v>
      </c>
      <c r="D6" s="10" t="s">
        <v>44</v>
      </c>
      <c r="E6" s="10">
        <v>85.480591497227394</v>
      </c>
      <c r="F6" s="10">
        <v>1571</v>
      </c>
      <c r="G6" s="10">
        <v>85.594552121529603</v>
      </c>
      <c r="H6" s="10">
        <v>275</v>
      </c>
      <c r="I6" s="10" t="s">
        <v>87</v>
      </c>
      <c r="J6" s="10">
        <v>14.519408502772601</v>
      </c>
      <c r="K6" s="10">
        <v>75.353604300713798</v>
      </c>
      <c r="L6" s="10">
        <v>85.480591497227394</v>
      </c>
      <c r="M6" s="10">
        <v>82.647800654280701</v>
      </c>
      <c r="N6" s="10">
        <v>52.499902986506498</v>
      </c>
      <c r="O6" s="10">
        <v>85.480591497227394</v>
      </c>
      <c r="P6" s="10">
        <v>85.480591497227394</v>
      </c>
      <c r="Q6" s="10">
        <v>51.139599898923102</v>
      </c>
      <c r="R6" s="10">
        <v>85.480591497227394</v>
      </c>
      <c r="S6" s="10">
        <v>79.896536530024306</v>
      </c>
      <c r="T6" s="10">
        <v>14.405447878470399</v>
      </c>
      <c r="U6" s="10">
        <v>76.266383280198397</v>
      </c>
      <c r="V6" s="10">
        <v>85.594552121529603</v>
      </c>
      <c r="W6" s="10">
        <v>83.009819623176895</v>
      </c>
      <c r="X6" s="10">
        <v>52.892091007584</v>
      </c>
      <c r="Y6" s="10">
        <v>85.594552121529603</v>
      </c>
      <c r="Z6" s="10">
        <v>85.594552121529603</v>
      </c>
      <c r="AA6" s="10">
        <v>51.8670513818481</v>
      </c>
      <c r="AB6" s="10">
        <v>85.594552121529603</v>
      </c>
      <c r="AC6" s="10">
        <v>80.170291990053897</v>
      </c>
      <c r="AD6" s="10">
        <v>9600.6502177892398</v>
      </c>
      <c r="AE6" s="10">
        <v>34.391108000000003</v>
      </c>
      <c r="AF6" s="10">
        <v>886935</v>
      </c>
      <c r="AG6" s="10">
        <v>886034</v>
      </c>
      <c r="AH6" s="10" t="s">
        <v>112</v>
      </c>
      <c r="AI6" s="10" t="s">
        <v>111</v>
      </c>
      <c r="AJ6" s="10" t="s">
        <v>47</v>
      </c>
      <c r="AK6" s="10" t="s">
        <v>48</v>
      </c>
      <c r="AL6" s="10" t="s">
        <v>49</v>
      </c>
      <c r="AM6" s="10" t="s">
        <v>50</v>
      </c>
    </row>
    <row r="7" spans="1:39" x14ac:dyDescent="0.2">
      <c r="A7" s="7">
        <v>0</v>
      </c>
      <c r="B7" s="10">
        <v>2.14</v>
      </c>
      <c r="C7" s="10" t="s">
        <v>51</v>
      </c>
      <c r="D7" s="10" t="s">
        <v>44</v>
      </c>
      <c r="E7" s="10">
        <v>85.101663585951897</v>
      </c>
      <c r="F7" s="10">
        <v>1612</v>
      </c>
      <c r="G7" s="10">
        <v>85.123101100052395</v>
      </c>
      <c r="H7" s="10">
        <v>284</v>
      </c>
      <c r="I7" s="10" t="s">
        <v>88</v>
      </c>
      <c r="J7" s="10">
        <v>14.898336414048099</v>
      </c>
      <c r="K7" s="10" t="s">
        <v>52</v>
      </c>
      <c r="L7" s="10">
        <v>85.101663585951897</v>
      </c>
      <c r="M7" s="10" t="s">
        <v>52</v>
      </c>
      <c r="N7" s="10">
        <v>50</v>
      </c>
      <c r="O7" s="10">
        <v>85.101663585951897</v>
      </c>
      <c r="P7" s="10">
        <v>85.101663585951897</v>
      </c>
      <c r="Q7" s="10">
        <v>45.975634112242901</v>
      </c>
      <c r="R7" s="10">
        <v>85.101663585951897</v>
      </c>
      <c r="S7" s="10">
        <v>78.252058947418206</v>
      </c>
      <c r="T7" s="10">
        <v>14.8768988999476</v>
      </c>
      <c r="U7" s="10" t="s">
        <v>52</v>
      </c>
      <c r="V7" s="10">
        <v>85.123101100052395</v>
      </c>
      <c r="W7" s="10" t="s">
        <v>52</v>
      </c>
      <c r="X7" s="10">
        <v>50</v>
      </c>
      <c r="Y7" s="10">
        <v>85.123101100052395</v>
      </c>
      <c r="Z7" s="10">
        <v>85.123101100052395</v>
      </c>
      <c r="AA7" s="10">
        <v>45.9818902093945</v>
      </c>
      <c r="AB7" s="10">
        <v>85.123101100052395</v>
      </c>
      <c r="AC7" s="10">
        <v>78.282421781315904</v>
      </c>
      <c r="AD7" s="10">
        <v>10057.220191775001</v>
      </c>
      <c r="AE7" s="10">
        <v>25.712016999999999</v>
      </c>
      <c r="AF7" s="10">
        <v>730519</v>
      </c>
      <c r="AG7" s="10">
        <v>729618</v>
      </c>
      <c r="AH7" s="10" t="s">
        <v>113</v>
      </c>
      <c r="AI7" s="10" t="s">
        <v>111</v>
      </c>
      <c r="AJ7" s="10" t="s">
        <v>47</v>
      </c>
      <c r="AK7" s="10" t="s">
        <v>48</v>
      </c>
      <c r="AL7" s="10" t="s">
        <v>49</v>
      </c>
      <c r="AM7" s="10" t="s">
        <v>50</v>
      </c>
    </row>
    <row r="8" spans="1:39" x14ac:dyDescent="0.2">
      <c r="A8" s="7">
        <v>0</v>
      </c>
      <c r="B8" s="10">
        <v>2.15</v>
      </c>
      <c r="C8" s="10" t="s">
        <v>58</v>
      </c>
      <c r="D8" s="10" t="s">
        <v>44</v>
      </c>
      <c r="E8" s="10">
        <v>86.330868761552694</v>
      </c>
      <c r="F8" s="10">
        <v>1479</v>
      </c>
      <c r="G8" s="10">
        <v>86.485070717653201</v>
      </c>
      <c r="H8" s="10">
        <v>258</v>
      </c>
      <c r="I8" s="10" t="s">
        <v>89</v>
      </c>
      <c r="J8" s="10">
        <v>13.669131238447299</v>
      </c>
      <c r="K8" s="10">
        <v>75.361893714267396</v>
      </c>
      <c r="L8" s="10">
        <v>86.330868761552694</v>
      </c>
      <c r="M8" s="10">
        <v>83.8483812330267</v>
      </c>
      <c r="N8" s="10">
        <v>58.833375013204602</v>
      </c>
      <c r="O8" s="10">
        <v>86.330868761552694</v>
      </c>
      <c r="P8" s="10">
        <v>86.330868761552694</v>
      </c>
      <c r="Q8" s="10">
        <v>61.2153022386928</v>
      </c>
      <c r="R8" s="10">
        <v>86.330868761552694</v>
      </c>
      <c r="S8" s="10">
        <v>83.126160548976898</v>
      </c>
      <c r="T8" s="10">
        <v>13.514929282346801</v>
      </c>
      <c r="U8" s="10">
        <v>75.873692900385294</v>
      </c>
      <c r="V8" s="10">
        <v>86.485070717653201</v>
      </c>
      <c r="W8" s="10">
        <v>84.122885742678804</v>
      </c>
      <c r="X8" s="10">
        <v>59.371939328277399</v>
      </c>
      <c r="Y8" s="10">
        <v>86.485070717653201</v>
      </c>
      <c r="Z8" s="10">
        <v>86.485070717653201</v>
      </c>
      <c r="AA8" s="10">
        <v>61.943668327419701</v>
      </c>
      <c r="AB8" s="10">
        <v>86.485070717653201</v>
      </c>
      <c r="AC8" s="10">
        <v>83.411392140402796</v>
      </c>
      <c r="AD8" s="10">
        <v>9731.3447333368695</v>
      </c>
      <c r="AE8" s="10">
        <v>28.609804</v>
      </c>
      <c r="AF8" s="10">
        <v>368324</v>
      </c>
      <c r="AG8" s="10">
        <v>172165</v>
      </c>
      <c r="AH8" s="10" t="s">
        <v>59</v>
      </c>
      <c r="AI8" s="10" t="s">
        <v>111</v>
      </c>
      <c r="AJ8" s="10" t="s">
        <v>47</v>
      </c>
      <c r="AK8" s="10" t="s">
        <v>48</v>
      </c>
      <c r="AL8" s="10" t="s">
        <v>49</v>
      </c>
      <c r="AM8" s="10" t="s">
        <v>50</v>
      </c>
    </row>
    <row r="9" spans="1:39" x14ac:dyDescent="0.2">
      <c r="A9" s="7">
        <v>0</v>
      </c>
      <c r="B9" s="10">
        <v>2.16</v>
      </c>
      <c r="C9" s="10" t="s">
        <v>58</v>
      </c>
      <c r="D9" s="10" t="s">
        <v>44</v>
      </c>
      <c r="E9" s="10">
        <v>85.767097966728301</v>
      </c>
      <c r="F9" s="10">
        <v>1540</v>
      </c>
      <c r="G9" s="10">
        <v>86.327920377160794</v>
      </c>
      <c r="H9" s="10">
        <v>261</v>
      </c>
      <c r="I9" s="10" t="s">
        <v>90</v>
      </c>
      <c r="J9" s="10">
        <v>14.232902033271699</v>
      </c>
      <c r="K9" s="10">
        <v>71.726529760280002</v>
      </c>
      <c r="L9" s="10">
        <v>85.767097966728301</v>
      </c>
      <c r="M9" s="10">
        <v>82.836129353632202</v>
      </c>
      <c r="N9" s="10">
        <v>59.1162367172359</v>
      </c>
      <c r="O9" s="10">
        <v>85.767097966728301</v>
      </c>
      <c r="P9" s="10">
        <v>85.767097966728301</v>
      </c>
      <c r="Q9" s="10">
        <v>61.381141719074598</v>
      </c>
      <c r="R9" s="10">
        <v>85.767097966728301</v>
      </c>
      <c r="S9" s="10">
        <v>82.925189597322699</v>
      </c>
      <c r="T9" s="10">
        <v>13.672079622839201</v>
      </c>
      <c r="U9" s="10">
        <v>73.943547771672797</v>
      </c>
      <c r="V9" s="10">
        <v>86.327920377160794</v>
      </c>
      <c r="W9" s="10">
        <v>83.858439511350099</v>
      </c>
      <c r="X9" s="10">
        <v>60.877789815817998</v>
      </c>
      <c r="Y9" s="10">
        <v>86.327920377160794</v>
      </c>
      <c r="Z9" s="10">
        <v>86.327920377160794</v>
      </c>
      <c r="AA9" s="10">
        <v>63.6372195061074</v>
      </c>
      <c r="AB9" s="10">
        <v>86.327920377160794</v>
      </c>
      <c r="AC9" s="10">
        <v>83.815090771414205</v>
      </c>
      <c r="AD9" s="10">
        <v>8362.5740033697602</v>
      </c>
      <c r="AE9" s="10">
        <v>48.204037999999997</v>
      </c>
      <c r="AF9" s="10">
        <v>5765660</v>
      </c>
      <c r="AG9" s="10">
        <v>4216597</v>
      </c>
      <c r="AH9" s="10" t="s">
        <v>60</v>
      </c>
      <c r="AI9" s="10" t="s">
        <v>111</v>
      </c>
      <c r="AJ9" s="10" t="s">
        <v>47</v>
      </c>
      <c r="AK9" s="10" t="s">
        <v>48</v>
      </c>
      <c r="AL9" s="10" t="s">
        <v>49</v>
      </c>
      <c r="AM9" s="10" t="s">
        <v>50</v>
      </c>
    </row>
    <row r="10" spans="1:39" x14ac:dyDescent="0.2">
      <c r="A10" s="7">
        <v>0</v>
      </c>
      <c r="B10" s="10">
        <v>2.17</v>
      </c>
      <c r="C10" s="10" t="s">
        <v>58</v>
      </c>
      <c r="D10" s="10" t="s">
        <v>44</v>
      </c>
      <c r="E10" s="10">
        <v>72.144177449168197</v>
      </c>
      <c r="F10" s="10">
        <v>3014</v>
      </c>
      <c r="G10" s="10">
        <v>72.655840754321602</v>
      </c>
      <c r="H10" s="10">
        <v>522</v>
      </c>
      <c r="I10" s="10" t="s">
        <v>91</v>
      </c>
      <c r="J10" s="10">
        <v>27.8558225508318</v>
      </c>
      <c r="K10" s="10">
        <v>63.423212339856498</v>
      </c>
      <c r="L10" s="10">
        <v>72.144177449168197</v>
      </c>
      <c r="M10" s="10">
        <v>85.445968646482797</v>
      </c>
      <c r="N10" s="10">
        <v>74.422365490791293</v>
      </c>
      <c r="O10" s="10">
        <v>72.144177449168197</v>
      </c>
      <c r="P10" s="10">
        <v>72.144177449168197</v>
      </c>
      <c r="Q10" s="10">
        <v>63.3419047109034</v>
      </c>
      <c r="R10" s="10">
        <v>72.144177449168197</v>
      </c>
      <c r="S10" s="10">
        <v>75.952629667497007</v>
      </c>
      <c r="T10" s="10">
        <v>27.344159245678402</v>
      </c>
      <c r="U10" s="10">
        <v>63.1877510040161</v>
      </c>
      <c r="V10" s="10">
        <v>72.655840754321602</v>
      </c>
      <c r="W10" s="10">
        <v>85.040949549902095</v>
      </c>
      <c r="X10" s="10">
        <v>73.623076923076894</v>
      </c>
      <c r="Y10" s="10">
        <v>72.655840754321602</v>
      </c>
      <c r="Z10" s="10">
        <v>72.655840754321602</v>
      </c>
      <c r="AA10" s="10">
        <v>63.374277775327499</v>
      </c>
      <c r="AB10" s="10">
        <v>72.655840754321602</v>
      </c>
      <c r="AC10" s="10">
        <v>76.325969715838596</v>
      </c>
      <c r="AD10" s="10">
        <v>12309.904694942999</v>
      </c>
      <c r="AE10" s="10">
        <v>21.882442999999999</v>
      </c>
      <c r="AF10" s="10">
        <v>346152</v>
      </c>
      <c r="AG10" s="10">
        <v>153481</v>
      </c>
      <c r="AH10" s="10" t="s">
        <v>61</v>
      </c>
      <c r="AI10" s="10" t="s">
        <v>111</v>
      </c>
      <c r="AJ10" s="10" t="s">
        <v>47</v>
      </c>
      <c r="AK10" s="10" t="s">
        <v>48</v>
      </c>
      <c r="AL10" s="10" t="s">
        <v>49</v>
      </c>
      <c r="AM10" s="10" t="s">
        <v>50</v>
      </c>
    </row>
    <row r="11" spans="1:39" x14ac:dyDescent="0.2">
      <c r="A11" s="7">
        <v>0</v>
      </c>
      <c r="B11" s="10">
        <v>2.1800000000000002</v>
      </c>
      <c r="C11" s="10" t="s">
        <v>62</v>
      </c>
      <c r="D11" s="10" t="s">
        <v>44</v>
      </c>
      <c r="E11" s="10">
        <v>85.184842883548995</v>
      </c>
      <c r="F11" s="10">
        <v>1603</v>
      </c>
      <c r="G11" s="10">
        <v>85.646935568360405</v>
      </c>
      <c r="H11" s="10">
        <v>274</v>
      </c>
      <c r="I11" s="10" t="s">
        <v>92</v>
      </c>
      <c r="J11" s="10">
        <v>14.815157116450999</v>
      </c>
      <c r="K11" s="10">
        <v>69.152578982758001</v>
      </c>
      <c r="L11" s="10">
        <v>85.184842883548995</v>
      </c>
      <c r="M11" s="10">
        <v>82.166158443156405</v>
      </c>
      <c r="N11" s="10">
        <v>59.5161748441855</v>
      </c>
      <c r="O11" s="10">
        <v>85.184842883548995</v>
      </c>
      <c r="P11" s="10">
        <v>85.184842883548995</v>
      </c>
      <c r="Q11" s="10">
        <v>61.638224655098803</v>
      </c>
      <c r="R11" s="10">
        <v>85.184842883548995</v>
      </c>
      <c r="S11" s="10">
        <v>82.737683433358498</v>
      </c>
      <c r="T11" s="10">
        <v>14.3530644316396</v>
      </c>
      <c r="U11" s="10">
        <v>71.091158341966704</v>
      </c>
      <c r="V11" s="10">
        <v>85.646935568360405</v>
      </c>
      <c r="W11" s="10">
        <v>82.593395973430404</v>
      </c>
      <c r="X11" s="10">
        <v>58.7343445287107</v>
      </c>
      <c r="Y11" s="10">
        <v>85.646935568360405</v>
      </c>
      <c r="Z11" s="10">
        <v>85.646935568360405</v>
      </c>
      <c r="AA11" s="10">
        <v>60.875295455225398</v>
      </c>
      <c r="AB11" s="10">
        <v>85.646935568360405</v>
      </c>
      <c r="AC11" s="10">
        <v>82.744136397762603</v>
      </c>
      <c r="AD11" s="10">
        <v>184878.25715506199</v>
      </c>
      <c r="AE11" s="10">
        <v>61.679518000000002</v>
      </c>
      <c r="AF11" s="10">
        <v>11044</v>
      </c>
      <c r="AG11" s="10">
        <v>9678</v>
      </c>
      <c r="AH11" s="10" t="s">
        <v>63</v>
      </c>
      <c r="AI11" s="10" t="s">
        <v>111</v>
      </c>
      <c r="AJ11" s="10" t="s">
        <v>47</v>
      </c>
      <c r="AK11" s="10" t="s">
        <v>48</v>
      </c>
      <c r="AL11" s="10" t="s">
        <v>49</v>
      </c>
      <c r="AM11" s="10" t="s">
        <v>50</v>
      </c>
    </row>
    <row r="12" spans="1:39" x14ac:dyDescent="0.2">
      <c r="A12" s="7">
        <v>0</v>
      </c>
      <c r="B12" s="10">
        <v>2.19</v>
      </c>
      <c r="C12" s="10" t="s">
        <v>62</v>
      </c>
      <c r="D12" s="10" t="s">
        <v>44</v>
      </c>
      <c r="E12" s="10">
        <v>83.225508317929794</v>
      </c>
      <c r="F12" s="10">
        <v>1815</v>
      </c>
      <c r="G12" s="10">
        <v>84.494499738082794</v>
      </c>
      <c r="H12" s="10">
        <v>296</v>
      </c>
      <c r="I12" s="10" t="s">
        <v>93</v>
      </c>
      <c r="J12" s="10">
        <v>16.774491682070199</v>
      </c>
      <c r="K12" s="10">
        <v>64.370438191827802</v>
      </c>
      <c r="L12" s="10">
        <v>83.225508317929794</v>
      </c>
      <c r="M12" s="10">
        <v>80.966395628429197</v>
      </c>
      <c r="N12" s="10">
        <v>60.309637428236996</v>
      </c>
      <c r="O12" s="10">
        <v>83.225508317929794</v>
      </c>
      <c r="P12" s="10">
        <v>83.225508317929794</v>
      </c>
      <c r="Q12" s="10">
        <v>61.682585282017698</v>
      </c>
      <c r="R12" s="10">
        <v>83.225508317929794</v>
      </c>
      <c r="S12" s="10">
        <v>81.852688003672796</v>
      </c>
      <c r="T12" s="10">
        <v>15.5055002619172</v>
      </c>
      <c r="U12" s="10">
        <v>66.936389779229003</v>
      </c>
      <c r="V12" s="10">
        <v>84.494499738082794</v>
      </c>
      <c r="W12" s="10">
        <v>81.606436791579696</v>
      </c>
      <c r="X12" s="10">
        <v>59.800866738894896</v>
      </c>
      <c r="Y12" s="10">
        <v>84.494499738082794</v>
      </c>
      <c r="Z12" s="10">
        <v>84.494499738082794</v>
      </c>
      <c r="AA12" s="10">
        <v>61.678937060205399</v>
      </c>
      <c r="AB12" s="10">
        <v>84.494499738082794</v>
      </c>
      <c r="AC12" s="10">
        <v>82.449927929881895</v>
      </c>
      <c r="AD12" s="10">
        <v>274215.62167367799</v>
      </c>
      <c r="AE12" s="10">
        <v>70.503873999999996</v>
      </c>
      <c r="AF12" s="10">
        <v>14284</v>
      </c>
      <c r="AG12" s="10">
        <v>12918</v>
      </c>
      <c r="AH12" s="10" t="s">
        <v>64</v>
      </c>
      <c r="AI12" s="10" t="s">
        <v>111</v>
      </c>
      <c r="AJ12" s="10" t="s">
        <v>47</v>
      </c>
      <c r="AK12" s="10" t="s">
        <v>48</v>
      </c>
      <c r="AL12" s="10" t="s">
        <v>49</v>
      </c>
      <c r="AM12" s="10" t="s">
        <v>50</v>
      </c>
    </row>
    <row r="13" spans="1:39" x14ac:dyDescent="0.2">
      <c r="A13" s="7">
        <v>0</v>
      </c>
      <c r="B13" s="10">
        <v>2.2000000000000002</v>
      </c>
      <c r="C13" s="10" t="s">
        <v>45</v>
      </c>
      <c r="D13" s="10" t="s">
        <v>44</v>
      </c>
      <c r="E13" s="10">
        <v>85.582255083179305</v>
      </c>
      <c r="F13" s="10">
        <v>1560</v>
      </c>
      <c r="G13" s="10">
        <v>85.699319015191193</v>
      </c>
      <c r="H13" s="10">
        <v>273</v>
      </c>
      <c r="I13" s="10" t="s">
        <v>94</v>
      </c>
      <c r="J13" s="10">
        <v>14.4177449168207</v>
      </c>
      <c r="K13" s="10">
        <v>71.665068712048594</v>
      </c>
      <c r="L13" s="10">
        <v>85.582255083179305</v>
      </c>
      <c r="M13" s="10">
        <v>82.194445970525607</v>
      </c>
      <c r="N13" s="10">
        <v>55.937158431658297</v>
      </c>
      <c r="O13" s="10">
        <v>85.582255083179305</v>
      </c>
      <c r="P13" s="10">
        <v>85.582255083179305</v>
      </c>
      <c r="Q13" s="10">
        <v>57.067069807674798</v>
      </c>
      <c r="R13" s="10">
        <v>85.582255083179305</v>
      </c>
      <c r="S13" s="10">
        <v>81.630615663053803</v>
      </c>
      <c r="T13" s="10">
        <v>14.3006809848088</v>
      </c>
      <c r="U13" s="10">
        <v>71.711962350328704</v>
      </c>
      <c r="V13" s="10">
        <v>85.699319015191193</v>
      </c>
      <c r="W13" s="10">
        <v>82.522939461326203</v>
      </c>
      <c r="X13" s="10">
        <v>57.457529794149501</v>
      </c>
      <c r="Y13" s="10">
        <v>85.699319015191193</v>
      </c>
      <c r="Z13" s="10">
        <v>85.699319015191193</v>
      </c>
      <c r="AA13" s="10">
        <v>59.247581982692097</v>
      </c>
      <c r="AB13" s="10">
        <v>85.699319015191193</v>
      </c>
      <c r="AC13" s="10">
        <v>82.311157639767004</v>
      </c>
      <c r="AD13" s="10">
        <v>445359.12739246798</v>
      </c>
      <c r="AE13" s="10">
        <v>2.212548</v>
      </c>
      <c r="AF13" s="10">
        <v>11267</v>
      </c>
      <c r="AG13" s="10">
        <v>7794</v>
      </c>
      <c r="AH13" s="10" t="s">
        <v>65</v>
      </c>
      <c r="AI13" s="10" t="s">
        <v>111</v>
      </c>
      <c r="AJ13" s="10" t="s">
        <v>47</v>
      </c>
      <c r="AK13" s="10" t="s">
        <v>48</v>
      </c>
      <c r="AL13" s="10" t="s">
        <v>49</v>
      </c>
      <c r="AM13" s="10" t="s">
        <v>50</v>
      </c>
    </row>
    <row r="14" spans="1:39" x14ac:dyDescent="0.2">
      <c r="A14" s="7">
        <v>0</v>
      </c>
      <c r="B14" s="10">
        <v>2.2000000000000002</v>
      </c>
      <c r="C14" s="10" t="s">
        <v>62</v>
      </c>
      <c r="D14" s="10" t="s">
        <v>44</v>
      </c>
      <c r="E14" s="10">
        <v>78.974121996303097</v>
      </c>
      <c r="F14" s="10">
        <v>2275</v>
      </c>
      <c r="G14" s="10">
        <v>78.1561026715558</v>
      </c>
      <c r="H14" s="10">
        <v>417</v>
      </c>
      <c r="I14" s="10" t="s">
        <v>95</v>
      </c>
      <c r="J14" s="10">
        <v>21.025878003696899</v>
      </c>
      <c r="K14" s="10">
        <v>59.809722754474301</v>
      </c>
      <c r="L14" s="10">
        <v>78.974121996303097</v>
      </c>
      <c r="M14" s="10">
        <v>79.822477310555101</v>
      </c>
      <c r="N14" s="10">
        <v>60.600826123793503</v>
      </c>
      <c r="O14" s="10">
        <v>78.974121996303097</v>
      </c>
      <c r="P14" s="10">
        <v>78.974121996303097</v>
      </c>
      <c r="Q14" s="10">
        <v>60.164694563760499</v>
      </c>
      <c r="R14" s="10">
        <v>78.974121996303097</v>
      </c>
      <c r="S14" s="10">
        <v>79.381427687848401</v>
      </c>
      <c r="T14" s="10">
        <v>21.8438973284442</v>
      </c>
      <c r="U14" s="10">
        <v>57.830885828308901</v>
      </c>
      <c r="V14" s="10">
        <v>78.1561026715558</v>
      </c>
      <c r="W14" s="10">
        <v>78.748856501212998</v>
      </c>
      <c r="X14" s="10">
        <v>58.257096424702098</v>
      </c>
      <c r="Y14" s="10">
        <v>78.1561026715558</v>
      </c>
      <c r="Z14" s="10">
        <v>78.1561026715558</v>
      </c>
      <c r="AA14" s="10">
        <v>58.027298366495401</v>
      </c>
      <c r="AB14" s="10">
        <v>78.1561026715558</v>
      </c>
      <c r="AC14" s="10">
        <v>78.445397135849404</v>
      </c>
      <c r="AD14" s="10">
        <v>315075.274453277</v>
      </c>
      <c r="AE14" s="10">
        <v>104.285314</v>
      </c>
      <c r="AF14" s="10">
        <v>30484</v>
      </c>
      <c r="AG14" s="10">
        <v>29118</v>
      </c>
      <c r="AH14" s="10" t="s">
        <v>66</v>
      </c>
      <c r="AI14" s="10" t="s">
        <v>111</v>
      </c>
      <c r="AJ14" s="10" t="s">
        <v>47</v>
      </c>
      <c r="AK14" s="10" t="s">
        <v>48</v>
      </c>
      <c r="AL14" s="10" t="s">
        <v>49</v>
      </c>
      <c r="AM14" s="10" t="s">
        <v>50</v>
      </c>
    </row>
    <row r="15" spans="1:39" x14ac:dyDescent="0.2">
      <c r="A15" s="7">
        <v>0</v>
      </c>
      <c r="B15" s="10">
        <v>2.21</v>
      </c>
      <c r="C15" s="10" t="s">
        <v>62</v>
      </c>
      <c r="D15" s="10" t="s">
        <v>44</v>
      </c>
      <c r="E15" s="10">
        <v>84.556377079482402</v>
      </c>
      <c r="F15" s="10">
        <v>1671</v>
      </c>
      <c r="G15" s="10">
        <v>84.599266631744399</v>
      </c>
      <c r="H15" s="10">
        <v>294</v>
      </c>
      <c r="I15" s="10" t="s">
        <v>96</v>
      </c>
      <c r="J15" s="10">
        <v>15.443622920517599</v>
      </c>
      <c r="K15" s="10">
        <v>67.136234216515305</v>
      </c>
      <c r="L15" s="10">
        <v>84.556377079482402</v>
      </c>
      <c r="M15" s="10">
        <v>81.623140849655002</v>
      </c>
      <c r="N15" s="10">
        <v>59.7098515046793</v>
      </c>
      <c r="O15" s="10">
        <v>84.556377079482402</v>
      </c>
      <c r="P15" s="10">
        <v>84.556377079482402</v>
      </c>
      <c r="Q15" s="10">
        <v>61.612448625692501</v>
      </c>
      <c r="R15" s="10">
        <v>84.556377079482402</v>
      </c>
      <c r="S15" s="10">
        <v>82.447126513915904</v>
      </c>
      <c r="T15" s="10">
        <v>15.400733368255599</v>
      </c>
      <c r="U15" s="10">
        <v>66.929390199396195</v>
      </c>
      <c r="V15" s="10">
        <v>84.599266631744399</v>
      </c>
      <c r="W15" s="10">
        <v>81.404224833347897</v>
      </c>
      <c r="X15" s="10">
        <v>58.845395449620803</v>
      </c>
      <c r="Y15" s="10">
        <v>84.599266631744399</v>
      </c>
      <c r="Z15" s="10">
        <v>84.599266631744399</v>
      </c>
      <c r="AA15" s="10">
        <v>60.673925838728699</v>
      </c>
      <c r="AB15" s="10">
        <v>84.599266631744399</v>
      </c>
      <c r="AC15" s="10">
        <v>82.221193806112197</v>
      </c>
      <c r="AD15" s="10">
        <v>103220.636495459</v>
      </c>
      <c r="AE15" s="10">
        <v>57.299214999999997</v>
      </c>
      <c r="AF15" s="10">
        <v>12816</v>
      </c>
      <c r="AG15" s="10">
        <v>10926</v>
      </c>
      <c r="AH15" s="10" t="s">
        <v>67</v>
      </c>
      <c r="AI15" s="10" t="s">
        <v>111</v>
      </c>
      <c r="AJ15" s="10" t="s">
        <v>47</v>
      </c>
      <c r="AK15" s="10" t="s">
        <v>48</v>
      </c>
      <c r="AL15" s="10" t="s">
        <v>49</v>
      </c>
      <c r="AM15" s="10" t="s">
        <v>50</v>
      </c>
    </row>
    <row r="16" spans="1:39" x14ac:dyDescent="0.2">
      <c r="A16" s="7">
        <v>0</v>
      </c>
      <c r="B16" s="10">
        <v>2.2200000000000002</v>
      </c>
      <c r="C16" s="10" t="s">
        <v>62</v>
      </c>
      <c r="D16" s="10" t="s">
        <v>44</v>
      </c>
      <c r="E16" s="10">
        <v>83.733826247689507</v>
      </c>
      <c r="F16" s="10">
        <v>1760</v>
      </c>
      <c r="G16" s="10">
        <v>84.704033525406004</v>
      </c>
      <c r="H16" s="10">
        <v>292</v>
      </c>
      <c r="I16" s="10" t="s">
        <v>97</v>
      </c>
      <c r="J16" s="10">
        <v>16.2661737523105</v>
      </c>
      <c r="K16" s="10">
        <v>65.077401744160696</v>
      </c>
      <c r="L16" s="10">
        <v>83.733826247689507</v>
      </c>
      <c r="M16" s="10">
        <v>81.029022695174305</v>
      </c>
      <c r="N16" s="10">
        <v>59.687147652381299</v>
      </c>
      <c r="O16" s="10">
        <v>83.733826247689507</v>
      </c>
      <c r="P16" s="10">
        <v>83.733826247689507</v>
      </c>
      <c r="Q16" s="10">
        <v>61.274473917534998</v>
      </c>
      <c r="R16" s="10">
        <v>83.733826247689507</v>
      </c>
      <c r="S16" s="10">
        <v>81.978507934507505</v>
      </c>
      <c r="T16" s="10">
        <v>15.295966474594</v>
      </c>
      <c r="U16" s="10">
        <v>67.651199712428493</v>
      </c>
      <c r="V16" s="10">
        <v>84.704033525406004</v>
      </c>
      <c r="W16" s="10">
        <v>81.899081421589102</v>
      </c>
      <c r="X16" s="10">
        <v>60.214517876489701</v>
      </c>
      <c r="Y16" s="10">
        <v>84.704033525406004</v>
      </c>
      <c r="Z16" s="10">
        <v>84.704033525406004</v>
      </c>
      <c r="AA16" s="10">
        <v>62.196789262094498</v>
      </c>
      <c r="AB16" s="10">
        <v>84.704033525406004</v>
      </c>
      <c r="AC16" s="10">
        <v>82.687091065964594</v>
      </c>
      <c r="AD16" s="10">
        <v>186368.56882029699</v>
      </c>
      <c r="AE16" s="10">
        <v>62.583742999999998</v>
      </c>
      <c r="AF16" s="10">
        <v>14588</v>
      </c>
      <c r="AG16" s="10">
        <v>12174</v>
      </c>
      <c r="AH16" s="10" t="s">
        <v>68</v>
      </c>
      <c r="AI16" s="10" t="s">
        <v>111</v>
      </c>
      <c r="AJ16" s="10" t="s">
        <v>47</v>
      </c>
      <c r="AK16" s="10" t="s">
        <v>48</v>
      </c>
      <c r="AL16" s="10" t="s">
        <v>49</v>
      </c>
      <c r="AM16" s="10" t="s">
        <v>50</v>
      </c>
    </row>
    <row r="17" spans="1:39" x14ac:dyDescent="0.2">
      <c r="A17" s="7">
        <v>0</v>
      </c>
      <c r="B17" s="10">
        <v>2.23</v>
      </c>
      <c r="C17" s="10" t="s">
        <v>69</v>
      </c>
      <c r="D17" s="10" t="s">
        <v>44</v>
      </c>
      <c r="E17" s="10">
        <v>85.083179297596999</v>
      </c>
      <c r="F17" s="10">
        <v>1614</v>
      </c>
      <c r="G17" s="10">
        <v>85.123101100052395</v>
      </c>
      <c r="H17" s="10">
        <v>284</v>
      </c>
      <c r="I17" s="10" t="s">
        <v>98</v>
      </c>
      <c r="J17" s="10">
        <v>14.916820702402999</v>
      </c>
      <c r="K17" s="10">
        <v>61.309193488716197</v>
      </c>
      <c r="L17" s="10">
        <v>85.083179297596999</v>
      </c>
      <c r="M17" s="10">
        <v>78.024039490591306</v>
      </c>
      <c r="N17" s="10">
        <v>50.065901805097702</v>
      </c>
      <c r="O17" s="10">
        <v>85.083179297596999</v>
      </c>
      <c r="P17" s="10">
        <v>85.083179297596999</v>
      </c>
      <c r="Q17" s="10">
        <v>46.154216154216201</v>
      </c>
      <c r="R17" s="10">
        <v>85.083179297596999</v>
      </c>
      <c r="S17" s="10">
        <v>78.295999201729302</v>
      </c>
      <c r="T17" s="10">
        <v>14.8768988999476</v>
      </c>
      <c r="U17" s="10" t="s">
        <v>52</v>
      </c>
      <c r="V17" s="10">
        <v>85.123101100052395</v>
      </c>
      <c r="W17" s="10" t="s">
        <v>52</v>
      </c>
      <c r="X17" s="10">
        <v>50</v>
      </c>
      <c r="Y17" s="10">
        <v>85.123101100052395</v>
      </c>
      <c r="Z17" s="10">
        <v>85.123101100052395</v>
      </c>
      <c r="AA17" s="10">
        <v>45.9818902093945</v>
      </c>
      <c r="AB17" s="10">
        <v>85.123101100052395</v>
      </c>
      <c r="AC17" s="10">
        <v>78.282421781315904</v>
      </c>
      <c r="AD17" s="10">
        <v>34092.162268609703</v>
      </c>
      <c r="AE17" s="10">
        <v>65.859888999999995</v>
      </c>
      <c r="AF17" s="10">
        <v>19614</v>
      </c>
      <c r="AG17" s="10">
        <v>27784</v>
      </c>
      <c r="AH17" s="10" t="s">
        <v>70</v>
      </c>
      <c r="AI17" s="10" t="s">
        <v>111</v>
      </c>
      <c r="AJ17" s="10" t="s">
        <v>47</v>
      </c>
      <c r="AK17" s="10" t="s">
        <v>48</v>
      </c>
      <c r="AL17" s="10" t="s">
        <v>49</v>
      </c>
      <c r="AM17" s="10" t="s">
        <v>50</v>
      </c>
    </row>
    <row r="18" spans="1:39" x14ac:dyDescent="0.2">
      <c r="A18" s="7">
        <v>0</v>
      </c>
      <c r="B18" s="10">
        <v>2.2400000000000002</v>
      </c>
      <c r="C18" s="10" t="s">
        <v>69</v>
      </c>
      <c r="D18" s="10" t="s">
        <v>44</v>
      </c>
      <c r="E18" s="10">
        <v>85.175600739371504</v>
      </c>
      <c r="F18" s="10">
        <v>1604</v>
      </c>
      <c r="G18" s="10">
        <v>85.280251440544802</v>
      </c>
      <c r="H18" s="10">
        <v>281</v>
      </c>
      <c r="I18" s="10" t="s">
        <v>99</v>
      </c>
      <c r="J18" s="10">
        <v>14.8243992606285</v>
      </c>
      <c r="K18" s="10">
        <v>68.730244853031905</v>
      </c>
      <c r="L18" s="10">
        <v>85.175600739371504</v>
      </c>
      <c r="M18" s="10">
        <v>80.996439208161107</v>
      </c>
      <c r="N18" s="10">
        <v>54.2141718389231</v>
      </c>
      <c r="O18" s="10">
        <v>85.175600739371504</v>
      </c>
      <c r="P18" s="10">
        <v>85.175600739371504</v>
      </c>
      <c r="Q18" s="10">
        <v>54.376595347565598</v>
      </c>
      <c r="R18" s="10">
        <v>85.175600739371504</v>
      </c>
      <c r="S18" s="10">
        <v>80.692595905063698</v>
      </c>
      <c r="T18" s="10">
        <v>14.7197485594552</v>
      </c>
      <c r="U18" s="10">
        <v>69.486613709914707</v>
      </c>
      <c r="V18" s="10">
        <v>85.280251440544802</v>
      </c>
      <c r="W18" s="10">
        <v>81.2594142639864</v>
      </c>
      <c r="X18" s="10">
        <v>54.305633802816899</v>
      </c>
      <c r="Y18" s="10">
        <v>85.280251440544802</v>
      </c>
      <c r="Z18" s="10">
        <v>85.280251440544802</v>
      </c>
      <c r="AA18" s="10">
        <v>54.516055456209699</v>
      </c>
      <c r="AB18" s="10">
        <v>85.280251440544802</v>
      </c>
      <c r="AC18" s="10">
        <v>80.792989733275505</v>
      </c>
      <c r="AD18" s="10">
        <v>51722.819228268803</v>
      </c>
      <c r="AE18" s="10">
        <v>40.903798000000002</v>
      </c>
      <c r="AF18" s="10">
        <v>19648</v>
      </c>
      <c r="AG18" s="10">
        <v>27784</v>
      </c>
      <c r="AH18" s="10" t="s">
        <v>71</v>
      </c>
      <c r="AI18" s="10" t="s">
        <v>111</v>
      </c>
      <c r="AJ18" s="10" t="s">
        <v>47</v>
      </c>
      <c r="AK18" s="10" t="s">
        <v>48</v>
      </c>
      <c r="AL18" s="10" t="s">
        <v>49</v>
      </c>
      <c r="AM18" s="10" t="s">
        <v>50</v>
      </c>
    </row>
    <row r="19" spans="1:39" x14ac:dyDescent="0.2">
      <c r="A19" s="7">
        <v>0</v>
      </c>
      <c r="B19" s="10">
        <v>2.2999999999999998</v>
      </c>
      <c r="C19" s="10" t="s">
        <v>45</v>
      </c>
      <c r="D19" s="10" t="s">
        <v>44</v>
      </c>
      <c r="E19" s="10">
        <v>85.009242144177406</v>
      </c>
      <c r="F19" s="10">
        <v>1622</v>
      </c>
      <c r="G19" s="10">
        <v>85.123101100052395</v>
      </c>
      <c r="H19" s="10">
        <v>284</v>
      </c>
      <c r="I19" s="10" t="s">
        <v>100</v>
      </c>
      <c r="J19" s="10">
        <v>14.990757855822601</v>
      </c>
      <c r="K19" s="10">
        <v>61.0105536517978</v>
      </c>
      <c r="L19" s="10">
        <v>85.009242144177406</v>
      </c>
      <c r="M19" s="10">
        <v>77.977608546447499</v>
      </c>
      <c r="N19" s="10">
        <v>50.303921716578301</v>
      </c>
      <c r="O19" s="10">
        <v>85.009242144177406</v>
      </c>
      <c r="P19" s="10">
        <v>85.009242144177406</v>
      </c>
      <c r="Q19" s="10">
        <v>46.791456334227703</v>
      </c>
      <c r="R19" s="10">
        <v>85.009242144177406</v>
      </c>
      <c r="S19" s="10">
        <v>78.449286324672499</v>
      </c>
      <c r="T19" s="10">
        <v>14.8768988999476</v>
      </c>
      <c r="U19" s="10" t="s">
        <v>52</v>
      </c>
      <c r="V19" s="10">
        <v>85.123101100052395</v>
      </c>
      <c r="W19" s="10" t="s">
        <v>52</v>
      </c>
      <c r="X19" s="10">
        <v>50</v>
      </c>
      <c r="Y19" s="10">
        <v>85.123101100052395</v>
      </c>
      <c r="Z19" s="10">
        <v>85.123101100052395</v>
      </c>
      <c r="AA19" s="10">
        <v>45.9818902093945</v>
      </c>
      <c r="AB19" s="10">
        <v>85.123101100052395</v>
      </c>
      <c r="AC19" s="10">
        <v>78.282421781315904</v>
      </c>
      <c r="AD19" s="10">
        <v>501529.61898581602</v>
      </c>
      <c r="AE19" s="10">
        <v>1.7472760000000001</v>
      </c>
      <c r="AF19" s="10">
        <v>6967</v>
      </c>
      <c r="AG19" s="10">
        <v>6286</v>
      </c>
      <c r="AH19" s="10" t="s">
        <v>72</v>
      </c>
      <c r="AI19" s="10" t="s">
        <v>111</v>
      </c>
      <c r="AJ19" s="10" t="s">
        <v>47</v>
      </c>
      <c r="AK19" s="10" t="s">
        <v>48</v>
      </c>
      <c r="AL19" s="10" t="s">
        <v>49</v>
      </c>
      <c r="AM19" s="10" t="s">
        <v>50</v>
      </c>
    </row>
    <row r="20" spans="1:39" x14ac:dyDescent="0.2">
      <c r="A20" s="7">
        <v>0</v>
      </c>
      <c r="B20" s="10">
        <v>2.4</v>
      </c>
      <c r="C20" s="10" t="s">
        <v>73</v>
      </c>
      <c r="D20" s="10" t="s">
        <v>44</v>
      </c>
      <c r="E20" s="10">
        <v>86.0628465804066</v>
      </c>
      <c r="F20" s="10">
        <v>1508</v>
      </c>
      <c r="G20" s="10">
        <v>86.380303823991596</v>
      </c>
      <c r="H20" s="10">
        <v>260</v>
      </c>
      <c r="I20" s="10" t="s">
        <v>73</v>
      </c>
      <c r="J20" s="10">
        <v>13.9371534195934</v>
      </c>
      <c r="K20" s="10">
        <v>73.158240067524602</v>
      </c>
      <c r="L20" s="10">
        <v>86.0628465804066</v>
      </c>
      <c r="M20" s="10">
        <v>83.352020337059997</v>
      </c>
      <c r="N20" s="10">
        <v>59.597046370294002</v>
      </c>
      <c r="O20" s="10">
        <v>86.0628465804066</v>
      </c>
      <c r="P20" s="10">
        <v>86.0628465804066</v>
      </c>
      <c r="Q20" s="10">
        <v>62.062596706134499</v>
      </c>
      <c r="R20" s="10">
        <v>86.0628465804066</v>
      </c>
      <c r="S20" s="10">
        <v>83.246177701367003</v>
      </c>
      <c r="T20" s="10">
        <v>13.6196961760084</v>
      </c>
      <c r="U20" s="10">
        <v>74.9656295428166</v>
      </c>
      <c r="V20" s="10">
        <v>86.380303823991596</v>
      </c>
      <c r="W20" s="10">
        <v>83.901460372387902</v>
      </c>
      <c r="X20" s="10">
        <v>59.600975081256799</v>
      </c>
      <c r="Y20" s="10">
        <v>86.380303823991596</v>
      </c>
      <c r="Z20" s="10">
        <v>86.380303823991596</v>
      </c>
      <c r="AA20" s="10">
        <v>62.185117237259902</v>
      </c>
      <c r="AB20" s="10">
        <v>86.380303823991596</v>
      </c>
      <c r="AC20" s="10">
        <v>83.433149465686398</v>
      </c>
      <c r="AD20" s="10">
        <v>67802.133072652301</v>
      </c>
      <c r="AE20" s="10">
        <v>6.6917999999999997</v>
      </c>
      <c r="AF20" s="10">
        <v>4158402</v>
      </c>
      <c r="AG20" s="10">
        <v>14585</v>
      </c>
      <c r="AH20" s="10" t="s">
        <v>47</v>
      </c>
      <c r="AI20" s="10" t="s">
        <v>111</v>
      </c>
      <c r="AJ20" s="10" t="s">
        <v>47</v>
      </c>
      <c r="AK20" s="10" t="s">
        <v>48</v>
      </c>
      <c r="AL20" s="10" t="s">
        <v>49</v>
      </c>
      <c r="AM20" s="10" t="s">
        <v>50</v>
      </c>
    </row>
    <row r="21" spans="1:39" x14ac:dyDescent="0.2">
      <c r="A21" s="7">
        <v>0</v>
      </c>
      <c r="B21" s="10">
        <v>2.5</v>
      </c>
      <c r="C21" s="10" t="s">
        <v>74</v>
      </c>
      <c r="D21" s="10" t="s">
        <v>44</v>
      </c>
      <c r="E21" s="10">
        <v>85.101663585951897</v>
      </c>
      <c r="F21" s="10">
        <v>1612</v>
      </c>
      <c r="G21" s="10">
        <v>85.123101100052395</v>
      </c>
      <c r="H21" s="10">
        <v>284</v>
      </c>
      <c r="I21" s="10" t="s">
        <v>74</v>
      </c>
      <c r="J21" s="10">
        <v>14.898336414048099</v>
      </c>
      <c r="K21" s="10" t="s">
        <v>52</v>
      </c>
      <c r="L21" s="10">
        <v>85.101663585951897</v>
      </c>
      <c r="M21" s="10" t="s">
        <v>52</v>
      </c>
      <c r="N21" s="10">
        <v>50</v>
      </c>
      <c r="O21" s="10">
        <v>85.101663585951897</v>
      </c>
      <c r="P21" s="10">
        <v>85.101663585951897</v>
      </c>
      <c r="Q21" s="10">
        <v>45.975634112242901</v>
      </c>
      <c r="R21" s="10">
        <v>85.101663585951897</v>
      </c>
      <c r="S21" s="10">
        <v>78.252058947418206</v>
      </c>
      <c r="T21" s="10">
        <v>14.8768988999476</v>
      </c>
      <c r="U21" s="10" t="s">
        <v>52</v>
      </c>
      <c r="V21" s="10">
        <v>85.123101100052395</v>
      </c>
      <c r="W21" s="10" t="s">
        <v>52</v>
      </c>
      <c r="X21" s="10">
        <v>50</v>
      </c>
      <c r="Y21" s="10">
        <v>85.123101100052395</v>
      </c>
      <c r="Z21" s="10">
        <v>85.123101100052395</v>
      </c>
      <c r="AA21" s="10">
        <v>45.9818902093945</v>
      </c>
      <c r="AB21" s="10">
        <v>85.123101100052395</v>
      </c>
      <c r="AC21" s="10">
        <v>78.282421781315904</v>
      </c>
      <c r="AD21" s="10">
        <v>316133.933267107</v>
      </c>
      <c r="AE21" s="10">
        <v>0.92893300000000001</v>
      </c>
      <c r="AF21" s="10">
        <v>13712</v>
      </c>
      <c r="AG21" s="10">
        <v>6576</v>
      </c>
      <c r="AH21" s="10" t="s">
        <v>75</v>
      </c>
      <c r="AI21" s="10" t="s">
        <v>111</v>
      </c>
      <c r="AJ21" s="10" t="s">
        <v>47</v>
      </c>
      <c r="AK21" s="10" t="s">
        <v>48</v>
      </c>
      <c r="AL21" s="10" t="s">
        <v>49</v>
      </c>
      <c r="AM21" s="10" t="s">
        <v>50</v>
      </c>
    </row>
    <row r="22" spans="1:39" x14ac:dyDescent="0.2">
      <c r="A22" s="7">
        <v>0</v>
      </c>
      <c r="B22" s="10">
        <v>2.6</v>
      </c>
      <c r="C22" s="10" t="s">
        <v>76</v>
      </c>
      <c r="D22" s="10" t="s">
        <v>44</v>
      </c>
      <c r="E22" s="10">
        <v>85.101663585951897</v>
      </c>
      <c r="F22" s="10">
        <v>1612</v>
      </c>
      <c r="G22" s="10">
        <v>85.123101100052395</v>
      </c>
      <c r="H22" s="10">
        <v>284</v>
      </c>
      <c r="I22" s="10" t="s">
        <v>76</v>
      </c>
      <c r="J22" s="10">
        <v>14.898336414048099</v>
      </c>
      <c r="K22" s="10" t="s">
        <v>52</v>
      </c>
      <c r="L22" s="10">
        <v>85.101663585951897</v>
      </c>
      <c r="M22" s="10" t="s">
        <v>52</v>
      </c>
      <c r="N22" s="10">
        <v>50</v>
      </c>
      <c r="O22" s="10">
        <v>85.101663585951897</v>
      </c>
      <c r="P22" s="10">
        <v>85.101663585951897</v>
      </c>
      <c r="Q22" s="10">
        <v>45.975634112242901</v>
      </c>
      <c r="R22" s="10">
        <v>85.101663585951897</v>
      </c>
      <c r="S22" s="10">
        <v>78.252058947418206</v>
      </c>
      <c r="T22" s="10">
        <v>14.8768988999476</v>
      </c>
      <c r="U22" s="10" t="s">
        <v>52</v>
      </c>
      <c r="V22" s="10">
        <v>85.123101100052395</v>
      </c>
      <c r="W22" s="10" t="s">
        <v>52</v>
      </c>
      <c r="X22" s="10">
        <v>50</v>
      </c>
      <c r="Y22" s="10">
        <v>85.123101100052395</v>
      </c>
      <c r="Z22" s="10">
        <v>85.123101100052395</v>
      </c>
      <c r="AA22" s="10">
        <v>45.9818902093945</v>
      </c>
      <c r="AB22" s="10">
        <v>85.123101100052395</v>
      </c>
      <c r="AC22" s="10">
        <v>78.282421781315904</v>
      </c>
      <c r="AD22" s="10">
        <v>193369.67205790401</v>
      </c>
      <c r="AE22" s="10">
        <v>3.092651</v>
      </c>
      <c r="AF22" s="10">
        <v>13670</v>
      </c>
      <c r="AG22" s="10">
        <v>6576</v>
      </c>
      <c r="AH22" s="10" t="s">
        <v>77</v>
      </c>
      <c r="AI22" s="10" t="s">
        <v>111</v>
      </c>
      <c r="AJ22" s="10" t="s">
        <v>47</v>
      </c>
      <c r="AK22" s="10" t="s">
        <v>48</v>
      </c>
      <c r="AL22" s="10" t="s">
        <v>49</v>
      </c>
      <c r="AM22" s="10" t="s">
        <v>50</v>
      </c>
    </row>
    <row r="23" spans="1:39" x14ac:dyDescent="0.2">
      <c r="A23" s="7">
        <v>0</v>
      </c>
      <c r="B23" s="10">
        <v>2.7</v>
      </c>
      <c r="C23" s="10" t="s">
        <v>78</v>
      </c>
      <c r="D23" s="10" t="s">
        <v>44</v>
      </c>
      <c r="E23" s="10">
        <v>83.974121996303097</v>
      </c>
      <c r="F23" s="10">
        <v>1734</v>
      </c>
      <c r="G23" s="10">
        <v>83.132530120481903</v>
      </c>
      <c r="H23" s="10">
        <v>322</v>
      </c>
      <c r="I23" s="10" t="s">
        <v>101</v>
      </c>
      <c r="J23" s="10">
        <v>16.025878003696899</v>
      </c>
      <c r="K23" s="10">
        <v>65.886775125671306</v>
      </c>
      <c r="L23" s="10">
        <v>83.974121996303097</v>
      </c>
      <c r="M23" s="10">
        <v>81.400718986253906</v>
      </c>
      <c r="N23" s="10">
        <v>60.340075411822298</v>
      </c>
      <c r="O23" s="10">
        <v>83.974121996303097</v>
      </c>
      <c r="P23" s="10">
        <v>83.974121996303097</v>
      </c>
      <c r="Q23" s="10">
        <v>62.024578565662303</v>
      </c>
      <c r="R23" s="10">
        <v>83.974121996303097</v>
      </c>
      <c r="S23" s="10">
        <v>82.293084753256295</v>
      </c>
      <c r="T23" s="10">
        <v>16.867469879518101</v>
      </c>
      <c r="U23" s="10">
        <v>63.3991567434297</v>
      </c>
      <c r="V23" s="10">
        <v>83.132530120481903</v>
      </c>
      <c r="W23" s="10">
        <v>80.394952310948696</v>
      </c>
      <c r="X23" s="10">
        <v>58.855579631635997</v>
      </c>
      <c r="Y23" s="10">
        <v>83.132530120481903</v>
      </c>
      <c r="Z23" s="10">
        <v>83.132530120481903</v>
      </c>
      <c r="AA23" s="10">
        <v>60.205479452054803</v>
      </c>
      <c r="AB23" s="10">
        <v>83.132530120481903</v>
      </c>
      <c r="AC23" s="10">
        <v>81.423681623456304</v>
      </c>
      <c r="AD23" s="10">
        <v>191816.76357963399</v>
      </c>
      <c r="AE23" s="10">
        <v>2.5331480000000002</v>
      </c>
      <c r="AF23" s="10">
        <v>15124</v>
      </c>
      <c r="AG23" s="10">
        <v>14217</v>
      </c>
      <c r="AH23" s="10" t="s">
        <v>79</v>
      </c>
      <c r="AI23" s="10" t="s">
        <v>111</v>
      </c>
      <c r="AJ23" s="10" t="s">
        <v>47</v>
      </c>
      <c r="AK23" s="10" t="s">
        <v>48</v>
      </c>
      <c r="AL23" s="10" t="s">
        <v>49</v>
      </c>
      <c r="AM23" s="10" t="s">
        <v>50</v>
      </c>
    </row>
    <row r="24" spans="1:39" x14ac:dyDescent="0.2">
      <c r="A24" s="7">
        <v>0</v>
      </c>
      <c r="B24" s="10">
        <v>2.8</v>
      </c>
      <c r="C24" s="10" t="s">
        <v>78</v>
      </c>
      <c r="D24" s="10" t="s">
        <v>44</v>
      </c>
      <c r="E24" s="10">
        <v>84.269870609981496</v>
      </c>
      <c r="F24" s="10">
        <v>1702</v>
      </c>
      <c r="G24" s="10">
        <v>84.023048716605601</v>
      </c>
      <c r="H24" s="10">
        <v>305</v>
      </c>
      <c r="I24" s="10" t="s">
        <v>102</v>
      </c>
      <c r="J24" s="10">
        <v>15.730129390018501</v>
      </c>
      <c r="K24" s="10">
        <v>65.882584373827001</v>
      </c>
      <c r="L24" s="10">
        <v>84.269870609981496</v>
      </c>
      <c r="M24" s="10">
        <v>81.0114650334706</v>
      </c>
      <c r="N24" s="10">
        <v>58.518027262947498</v>
      </c>
      <c r="O24" s="10">
        <v>84.269870609981496</v>
      </c>
      <c r="P24" s="10">
        <v>84.269870609981496</v>
      </c>
      <c r="Q24" s="10">
        <v>60.205634746795603</v>
      </c>
      <c r="R24" s="10">
        <v>84.269870609981496</v>
      </c>
      <c r="S24" s="10">
        <v>81.9303715683739</v>
      </c>
      <c r="T24" s="10">
        <v>15.976951283394399</v>
      </c>
      <c r="U24" s="10">
        <v>65.226510067114106</v>
      </c>
      <c r="V24" s="10">
        <v>84.023048716605601</v>
      </c>
      <c r="W24" s="10">
        <v>80.872790842389094</v>
      </c>
      <c r="X24" s="10">
        <v>58.652221018418203</v>
      </c>
      <c r="Y24" s="10">
        <v>84.023048716605601</v>
      </c>
      <c r="Z24" s="10">
        <v>84.023048716605601</v>
      </c>
      <c r="AA24" s="10">
        <v>60.275430594833203</v>
      </c>
      <c r="AB24" s="10">
        <v>84.023048716605601</v>
      </c>
      <c r="AC24" s="10">
        <v>81.851010473760496</v>
      </c>
      <c r="AD24" s="10">
        <v>662.02316359088002</v>
      </c>
      <c r="AE24" s="10">
        <v>85.268635000000003</v>
      </c>
      <c r="AF24" s="10">
        <v>6309108</v>
      </c>
      <c r="AG24" s="10">
        <v>3130949</v>
      </c>
      <c r="AH24" s="10" t="s">
        <v>80</v>
      </c>
      <c r="AI24" s="10" t="s">
        <v>111</v>
      </c>
      <c r="AJ24" s="10" t="s">
        <v>47</v>
      </c>
      <c r="AK24" s="10" t="s">
        <v>48</v>
      </c>
      <c r="AL24" s="10" t="s">
        <v>49</v>
      </c>
      <c r="AM24" s="10" t="s">
        <v>50</v>
      </c>
    </row>
    <row r="25" spans="1:39" x14ac:dyDescent="0.2">
      <c r="A25" s="7">
        <v>0</v>
      </c>
      <c r="B25" s="10">
        <v>2.9</v>
      </c>
      <c r="C25" s="10" t="s">
        <v>51</v>
      </c>
      <c r="D25" s="10" t="s">
        <v>44</v>
      </c>
      <c r="E25" s="10">
        <v>85.101663585951897</v>
      </c>
      <c r="F25" s="10">
        <v>1612</v>
      </c>
      <c r="G25" s="10">
        <v>85.123101100052395</v>
      </c>
      <c r="H25" s="10">
        <v>284</v>
      </c>
      <c r="I25" s="10" t="s">
        <v>103</v>
      </c>
      <c r="J25" s="10">
        <v>14.898336414048099</v>
      </c>
      <c r="K25" s="10" t="s">
        <v>52</v>
      </c>
      <c r="L25" s="10">
        <v>85.101663585951897</v>
      </c>
      <c r="M25" s="10" t="s">
        <v>52</v>
      </c>
      <c r="N25" s="10">
        <v>50</v>
      </c>
      <c r="O25" s="10">
        <v>85.101663585951897</v>
      </c>
      <c r="P25" s="10">
        <v>85.101663585951897</v>
      </c>
      <c r="Q25" s="10">
        <v>45.975634112242901</v>
      </c>
      <c r="R25" s="10">
        <v>85.101663585951897</v>
      </c>
      <c r="S25" s="10">
        <v>78.252058947418206</v>
      </c>
      <c r="T25" s="10">
        <v>14.8768988999476</v>
      </c>
      <c r="U25" s="10" t="s">
        <v>52</v>
      </c>
      <c r="V25" s="10">
        <v>85.123101100052395</v>
      </c>
      <c r="W25" s="10" t="s">
        <v>52</v>
      </c>
      <c r="X25" s="10">
        <v>50</v>
      </c>
      <c r="Y25" s="10">
        <v>85.123101100052395</v>
      </c>
      <c r="Z25" s="10">
        <v>85.123101100052395</v>
      </c>
      <c r="AA25" s="10">
        <v>45.9818902093945</v>
      </c>
      <c r="AB25" s="10">
        <v>85.123101100052395</v>
      </c>
      <c r="AC25" s="10">
        <v>78.282421781315904</v>
      </c>
      <c r="AD25" s="10">
        <v>14119.5200407143</v>
      </c>
      <c r="AE25" s="10">
        <v>11.245927999999999</v>
      </c>
      <c r="AF25" s="10">
        <v>699091</v>
      </c>
      <c r="AG25" s="10">
        <v>698002</v>
      </c>
      <c r="AH25" s="10" t="s">
        <v>81</v>
      </c>
      <c r="AI25" s="10" t="s">
        <v>111</v>
      </c>
      <c r="AJ25" s="10" t="s">
        <v>47</v>
      </c>
      <c r="AK25" s="10" t="s">
        <v>48</v>
      </c>
      <c r="AL25" s="10" t="s">
        <v>49</v>
      </c>
      <c r="AM25" s="10" t="s">
        <v>50</v>
      </c>
    </row>
    <row r="26" spans="1:39" ht="27" x14ac:dyDescent="0.2">
      <c r="A26" s="7" t="s">
        <v>1</v>
      </c>
      <c r="B26" s="8" t="s">
        <v>110</v>
      </c>
      <c r="C26" s="8" t="s">
        <v>110</v>
      </c>
      <c r="D26" s="8" t="s">
        <v>110</v>
      </c>
      <c r="E26" s="8" t="s">
        <v>110</v>
      </c>
      <c r="F26" s="8" t="s">
        <v>110</v>
      </c>
      <c r="G26" s="8" t="s">
        <v>110</v>
      </c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8" t="s">
        <v>110</v>
      </c>
      <c r="N26" s="8" t="s">
        <v>110</v>
      </c>
      <c r="O26" s="8" t="s">
        <v>110</v>
      </c>
      <c r="P26" s="8" t="s">
        <v>110</v>
      </c>
      <c r="Q26" s="8" t="s">
        <v>110</v>
      </c>
      <c r="R26" s="8" t="s">
        <v>110</v>
      </c>
      <c r="S26" s="8" t="s">
        <v>110</v>
      </c>
      <c r="T26" s="8" t="s">
        <v>110</v>
      </c>
      <c r="U26" s="8" t="s">
        <v>110</v>
      </c>
      <c r="V26" s="8" t="s">
        <v>110</v>
      </c>
      <c r="W26" s="8" t="s">
        <v>110</v>
      </c>
      <c r="X26" s="8" t="s">
        <v>110</v>
      </c>
      <c r="Y26" s="8" t="s">
        <v>110</v>
      </c>
      <c r="Z26" s="8" t="s">
        <v>110</v>
      </c>
      <c r="AA26" s="8" t="s">
        <v>110</v>
      </c>
      <c r="AB26" s="8" t="s">
        <v>110</v>
      </c>
      <c r="AC26" s="8" t="s">
        <v>110</v>
      </c>
      <c r="AD26" s="8" t="s">
        <v>110</v>
      </c>
      <c r="AE26" s="8" t="s">
        <v>110</v>
      </c>
      <c r="AF26" s="8" t="s">
        <v>110</v>
      </c>
      <c r="AG26" s="8" t="s">
        <v>110</v>
      </c>
      <c r="AH26" s="8" t="s">
        <v>110</v>
      </c>
      <c r="AI26" s="8" t="s">
        <v>110</v>
      </c>
      <c r="AJ26" s="8" t="s">
        <v>110</v>
      </c>
      <c r="AK26" s="8" t="s">
        <v>110</v>
      </c>
      <c r="AL26" s="8" t="s">
        <v>110</v>
      </c>
      <c r="AM26" s="8" t="s">
        <v>110</v>
      </c>
    </row>
    <row r="27" spans="1:39" ht="27" x14ac:dyDescent="0.2">
      <c r="A27" s="7" t="s">
        <v>114</v>
      </c>
      <c r="B27" s="8" t="s">
        <v>110</v>
      </c>
      <c r="C27" s="8" t="s">
        <v>110</v>
      </c>
      <c r="D27" s="8" t="s">
        <v>110</v>
      </c>
      <c r="E27" s="8" t="s">
        <v>110</v>
      </c>
      <c r="F27" s="8" t="s">
        <v>110</v>
      </c>
      <c r="G27" s="8" t="s">
        <v>110</v>
      </c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8" t="s">
        <v>110</v>
      </c>
      <c r="N27" s="8" t="s">
        <v>110</v>
      </c>
      <c r="O27" s="8" t="s">
        <v>110</v>
      </c>
      <c r="P27" s="8" t="s">
        <v>110</v>
      </c>
      <c r="Q27" s="8" t="s">
        <v>110</v>
      </c>
      <c r="R27" s="8" t="s">
        <v>110</v>
      </c>
      <c r="S27" s="8" t="s">
        <v>110</v>
      </c>
      <c r="T27" s="8" t="s">
        <v>110</v>
      </c>
      <c r="U27" s="8" t="s">
        <v>110</v>
      </c>
      <c r="V27" s="8" t="s">
        <v>110</v>
      </c>
      <c r="W27" s="8" t="s">
        <v>110</v>
      </c>
      <c r="X27" s="8" t="s">
        <v>110</v>
      </c>
      <c r="Y27" s="8" t="s">
        <v>110</v>
      </c>
      <c r="Z27" s="8" t="s">
        <v>110</v>
      </c>
      <c r="AA27" s="8" t="s">
        <v>110</v>
      </c>
      <c r="AB27" s="8" t="s">
        <v>110</v>
      </c>
      <c r="AC27" s="8" t="s">
        <v>110</v>
      </c>
      <c r="AD27" s="8" t="s">
        <v>110</v>
      </c>
      <c r="AE27" s="8" t="s">
        <v>110</v>
      </c>
      <c r="AF27" s="8" t="s">
        <v>110</v>
      </c>
      <c r="AG27" s="8" t="s">
        <v>110</v>
      </c>
      <c r="AH27" s="8" t="s">
        <v>110</v>
      </c>
      <c r="AI27" s="8" t="s">
        <v>110</v>
      </c>
      <c r="AJ27" s="8" t="s">
        <v>110</v>
      </c>
      <c r="AK27" s="8" t="s">
        <v>110</v>
      </c>
      <c r="AL27" s="8" t="s">
        <v>110</v>
      </c>
      <c r="AM27" s="8" t="s">
        <v>110</v>
      </c>
    </row>
    <row r="28" spans="1:39" ht="27" x14ac:dyDescent="0.2">
      <c r="A28" s="7" t="s">
        <v>3</v>
      </c>
      <c r="B28" s="8" t="s">
        <v>110</v>
      </c>
      <c r="C28" s="8" t="s">
        <v>110</v>
      </c>
      <c r="D28" s="8" t="s">
        <v>110</v>
      </c>
      <c r="E28" s="8" t="s">
        <v>110</v>
      </c>
      <c r="F28" s="8" t="s">
        <v>110</v>
      </c>
      <c r="G28" s="8" t="s">
        <v>110</v>
      </c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8" t="s">
        <v>110</v>
      </c>
      <c r="N28" s="8" t="s">
        <v>110</v>
      </c>
      <c r="O28" s="8" t="s">
        <v>110</v>
      </c>
      <c r="P28" s="8" t="s">
        <v>110</v>
      </c>
      <c r="Q28" s="8" t="s">
        <v>110</v>
      </c>
      <c r="R28" s="8" t="s">
        <v>110</v>
      </c>
      <c r="S28" s="8" t="s">
        <v>110</v>
      </c>
      <c r="T28" s="8" t="s">
        <v>110</v>
      </c>
      <c r="U28" s="8" t="s">
        <v>110</v>
      </c>
      <c r="V28" s="8" t="s">
        <v>110</v>
      </c>
      <c r="W28" s="8" t="s">
        <v>110</v>
      </c>
      <c r="X28" s="8" t="s">
        <v>110</v>
      </c>
      <c r="Y28" s="8" t="s">
        <v>110</v>
      </c>
      <c r="Z28" s="8" t="s">
        <v>110</v>
      </c>
      <c r="AA28" s="8" t="s">
        <v>110</v>
      </c>
      <c r="AB28" s="8" t="s">
        <v>110</v>
      </c>
      <c r="AC28" s="8" t="s">
        <v>110</v>
      </c>
      <c r="AD28" s="8" t="s">
        <v>110</v>
      </c>
      <c r="AE28" s="8" t="s">
        <v>110</v>
      </c>
      <c r="AF28" s="8" t="s">
        <v>110</v>
      </c>
      <c r="AG28" s="8" t="s">
        <v>110</v>
      </c>
      <c r="AH28" s="8" t="s">
        <v>110</v>
      </c>
      <c r="AI28" s="8" t="s">
        <v>110</v>
      </c>
      <c r="AJ28" s="8" t="s">
        <v>110</v>
      </c>
      <c r="AK28" s="8" t="s">
        <v>110</v>
      </c>
      <c r="AL28" s="8" t="s">
        <v>110</v>
      </c>
      <c r="AM28" s="8" t="s">
        <v>110</v>
      </c>
    </row>
    <row r="29" spans="1:39" ht="27" x14ac:dyDescent="0.2">
      <c r="A29" s="7" t="s">
        <v>4</v>
      </c>
      <c r="B29" s="8" t="s">
        <v>110</v>
      </c>
      <c r="C29" s="8" t="s">
        <v>110</v>
      </c>
      <c r="D29" s="8" t="s">
        <v>110</v>
      </c>
      <c r="E29" s="8" t="s">
        <v>110</v>
      </c>
      <c r="F29" s="8" t="s">
        <v>110</v>
      </c>
      <c r="G29" s="8" t="s">
        <v>110</v>
      </c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8" t="s">
        <v>110</v>
      </c>
      <c r="N29" s="8" t="s">
        <v>110</v>
      </c>
      <c r="O29" s="8" t="s">
        <v>110</v>
      </c>
      <c r="P29" s="8" t="s">
        <v>110</v>
      </c>
      <c r="Q29" s="8" t="s">
        <v>110</v>
      </c>
      <c r="R29" s="8" t="s">
        <v>110</v>
      </c>
      <c r="S29" s="8" t="s">
        <v>110</v>
      </c>
      <c r="T29" s="8" t="s">
        <v>110</v>
      </c>
      <c r="U29" s="8" t="s">
        <v>110</v>
      </c>
      <c r="V29" s="8" t="s">
        <v>110</v>
      </c>
      <c r="W29" s="8" t="s">
        <v>110</v>
      </c>
      <c r="X29" s="8" t="s">
        <v>110</v>
      </c>
      <c r="Y29" s="8" t="s">
        <v>110</v>
      </c>
      <c r="Z29" s="8" t="s">
        <v>110</v>
      </c>
      <c r="AA29" s="8" t="s">
        <v>110</v>
      </c>
      <c r="AB29" s="8" t="s">
        <v>110</v>
      </c>
      <c r="AC29" s="8" t="s">
        <v>110</v>
      </c>
      <c r="AD29" s="8" t="s">
        <v>110</v>
      </c>
      <c r="AE29" s="8" t="s">
        <v>110</v>
      </c>
      <c r="AF29" s="8" t="s">
        <v>110</v>
      </c>
      <c r="AG29" s="8" t="s">
        <v>110</v>
      </c>
      <c r="AH29" s="8" t="s">
        <v>110</v>
      </c>
      <c r="AI29" s="8" t="s">
        <v>110</v>
      </c>
      <c r="AJ29" s="8" t="s">
        <v>110</v>
      </c>
      <c r="AK29" s="8" t="s">
        <v>110</v>
      </c>
      <c r="AL29" s="8" t="s">
        <v>110</v>
      </c>
      <c r="AM29" s="8" t="s">
        <v>110</v>
      </c>
    </row>
    <row r="30" spans="1:39" ht="27" x14ac:dyDescent="0.2">
      <c r="A30" s="7" t="s">
        <v>5</v>
      </c>
      <c r="B30" s="8" t="s">
        <v>110</v>
      </c>
      <c r="C30" s="8" t="s">
        <v>110</v>
      </c>
      <c r="D30" s="8" t="s">
        <v>110</v>
      </c>
      <c r="E30" s="8" t="s">
        <v>110</v>
      </c>
      <c r="F30" s="8" t="s">
        <v>110</v>
      </c>
      <c r="G30" s="8" t="s">
        <v>110</v>
      </c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8" t="s">
        <v>110</v>
      </c>
      <c r="O30" s="8" t="s">
        <v>110</v>
      </c>
      <c r="P30" s="8" t="s">
        <v>110</v>
      </c>
      <c r="Q30" s="8" t="s">
        <v>110</v>
      </c>
      <c r="R30" s="8" t="s">
        <v>110</v>
      </c>
      <c r="S30" s="8" t="s">
        <v>110</v>
      </c>
      <c r="T30" s="8" t="s">
        <v>110</v>
      </c>
      <c r="U30" s="8" t="s">
        <v>110</v>
      </c>
      <c r="V30" s="8" t="s">
        <v>110</v>
      </c>
      <c r="W30" s="8" t="s">
        <v>110</v>
      </c>
      <c r="X30" s="8" t="s">
        <v>110</v>
      </c>
      <c r="Y30" s="8" t="s">
        <v>110</v>
      </c>
      <c r="Z30" s="8" t="s">
        <v>110</v>
      </c>
      <c r="AA30" s="8" t="s">
        <v>110</v>
      </c>
      <c r="AB30" s="8" t="s">
        <v>110</v>
      </c>
      <c r="AC30" s="8" t="s">
        <v>110</v>
      </c>
      <c r="AD30" s="8" t="s">
        <v>110</v>
      </c>
      <c r="AE30" s="8" t="s">
        <v>110</v>
      </c>
      <c r="AF30" s="8" t="s">
        <v>110</v>
      </c>
      <c r="AG30" s="8" t="s">
        <v>110</v>
      </c>
      <c r="AH30" s="8" t="s">
        <v>110</v>
      </c>
      <c r="AI30" s="8" t="s">
        <v>110</v>
      </c>
      <c r="AJ30" s="8" t="s">
        <v>110</v>
      </c>
      <c r="AK30" s="8" t="s">
        <v>110</v>
      </c>
      <c r="AL30" s="8" t="s">
        <v>110</v>
      </c>
      <c r="AM30" s="8" t="s">
        <v>110</v>
      </c>
    </row>
    <row r="31" spans="1:39" ht="27" x14ac:dyDescent="0.2">
      <c r="A31" s="9" t="s">
        <v>110</v>
      </c>
      <c r="B31" s="8" t="s">
        <v>110</v>
      </c>
      <c r="C31" s="8" t="s">
        <v>110</v>
      </c>
      <c r="D31" s="8" t="s">
        <v>110</v>
      </c>
      <c r="E31" s="8" t="s">
        <v>110</v>
      </c>
      <c r="F31" s="8" t="s">
        <v>110</v>
      </c>
      <c r="G31" s="8" t="s">
        <v>110</v>
      </c>
      <c r="H31" s="8" t="s">
        <v>110</v>
      </c>
      <c r="I31" s="8" t="s">
        <v>110</v>
      </c>
      <c r="J31" s="8" t="s">
        <v>110</v>
      </c>
      <c r="K31" s="8" t="s">
        <v>110</v>
      </c>
      <c r="L31" s="8" t="s">
        <v>110</v>
      </c>
      <c r="M31" s="8" t="s">
        <v>110</v>
      </c>
      <c r="N31" s="8" t="s">
        <v>110</v>
      </c>
      <c r="O31" s="8" t="s">
        <v>110</v>
      </c>
      <c r="P31" s="8" t="s">
        <v>110</v>
      </c>
      <c r="Q31" s="8" t="s">
        <v>110</v>
      </c>
      <c r="R31" s="8" t="s">
        <v>110</v>
      </c>
      <c r="S31" s="8" t="s">
        <v>110</v>
      </c>
      <c r="T31" s="8" t="s">
        <v>110</v>
      </c>
      <c r="U31" s="8" t="s">
        <v>110</v>
      </c>
      <c r="V31" s="8" t="s">
        <v>110</v>
      </c>
      <c r="W31" s="8" t="s">
        <v>110</v>
      </c>
      <c r="X31" s="8" t="s">
        <v>110</v>
      </c>
      <c r="Y31" s="8" t="s">
        <v>110</v>
      </c>
      <c r="Z31" s="8" t="s">
        <v>110</v>
      </c>
      <c r="AA31" s="8" t="s">
        <v>110</v>
      </c>
      <c r="AB31" s="8" t="s">
        <v>110</v>
      </c>
      <c r="AC31" s="8" t="s">
        <v>110</v>
      </c>
      <c r="AD31" s="8" t="s">
        <v>110</v>
      </c>
      <c r="AE31" s="8" t="s">
        <v>110</v>
      </c>
      <c r="AF31" s="8" t="s">
        <v>110</v>
      </c>
      <c r="AG31" s="8" t="s">
        <v>110</v>
      </c>
      <c r="AH31" s="8" t="s">
        <v>110</v>
      </c>
      <c r="AI31" s="8" t="s">
        <v>110</v>
      </c>
      <c r="AJ31" s="8" t="s">
        <v>110</v>
      </c>
      <c r="AK31" s="8" t="s">
        <v>110</v>
      </c>
      <c r="AL31" s="8" t="s">
        <v>110</v>
      </c>
      <c r="AM31" s="8" t="s">
        <v>110</v>
      </c>
    </row>
    <row r="32" spans="1:39" ht="27" x14ac:dyDescent="0.2">
      <c r="A32" s="9" t="s">
        <v>110</v>
      </c>
      <c r="B32" s="8" t="s">
        <v>110</v>
      </c>
      <c r="C32" s="8" t="s">
        <v>110</v>
      </c>
      <c r="D32" s="8" t="s">
        <v>110</v>
      </c>
      <c r="E32" s="8" t="s">
        <v>110</v>
      </c>
      <c r="F32" s="8" t="s">
        <v>110</v>
      </c>
      <c r="G32" s="8" t="s">
        <v>110</v>
      </c>
      <c r="H32" s="8" t="s">
        <v>110</v>
      </c>
      <c r="I32" s="8" t="s">
        <v>110</v>
      </c>
      <c r="J32" s="8" t="s">
        <v>110</v>
      </c>
      <c r="K32" s="8" t="s">
        <v>110</v>
      </c>
      <c r="L32" s="8" t="s">
        <v>110</v>
      </c>
      <c r="M32" s="8" t="s">
        <v>110</v>
      </c>
      <c r="N32" s="8" t="s">
        <v>110</v>
      </c>
      <c r="O32" s="8" t="s">
        <v>110</v>
      </c>
      <c r="P32" s="8" t="s">
        <v>110</v>
      </c>
      <c r="Q32" s="8" t="s">
        <v>110</v>
      </c>
      <c r="R32" s="8" t="s">
        <v>110</v>
      </c>
      <c r="S32" s="8" t="s">
        <v>110</v>
      </c>
      <c r="T32" s="8" t="s">
        <v>110</v>
      </c>
      <c r="U32" s="8" t="s">
        <v>110</v>
      </c>
      <c r="V32" s="8" t="s">
        <v>110</v>
      </c>
      <c r="W32" s="8" t="s">
        <v>110</v>
      </c>
      <c r="X32" s="8" t="s">
        <v>110</v>
      </c>
      <c r="Y32" s="8" t="s">
        <v>110</v>
      </c>
      <c r="Z32" s="8" t="s">
        <v>110</v>
      </c>
      <c r="AA32" s="8" t="s">
        <v>110</v>
      </c>
      <c r="AB32" s="8" t="s">
        <v>110</v>
      </c>
      <c r="AC32" s="8" t="s">
        <v>110</v>
      </c>
      <c r="AD32" s="8" t="s">
        <v>110</v>
      </c>
      <c r="AE32" s="8" t="s">
        <v>110</v>
      </c>
      <c r="AF32" s="8" t="s">
        <v>110</v>
      </c>
      <c r="AG32" s="8" t="s">
        <v>110</v>
      </c>
      <c r="AH32" s="8" t="s">
        <v>110</v>
      </c>
      <c r="AI32" s="8" t="s">
        <v>110</v>
      </c>
      <c r="AJ32" s="8" t="s">
        <v>110</v>
      </c>
      <c r="AK32" s="8" t="s">
        <v>110</v>
      </c>
      <c r="AL32" s="8" t="s">
        <v>110</v>
      </c>
      <c r="AM32" s="8" t="s">
        <v>110</v>
      </c>
    </row>
    <row r="33" spans="1:39" x14ac:dyDescent="0.2">
      <c r="A33" s="7" t="s">
        <v>6</v>
      </c>
      <c r="B33" s="10" t="s">
        <v>7</v>
      </c>
      <c r="C33" s="10" t="s">
        <v>9</v>
      </c>
      <c r="D33" s="10" t="s">
        <v>8</v>
      </c>
      <c r="E33" s="10" t="s">
        <v>10</v>
      </c>
      <c r="F33" s="10" t="s">
        <v>11</v>
      </c>
      <c r="G33" s="10" t="s">
        <v>22</v>
      </c>
      <c r="H33" s="10" t="s">
        <v>23</v>
      </c>
      <c r="I33" s="10" t="s">
        <v>82</v>
      </c>
      <c r="J33" s="10" t="s">
        <v>12</v>
      </c>
      <c r="K33" s="10" t="s">
        <v>13</v>
      </c>
      <c r="L33" s="10" t="s">
        <v>14</v>
      </c>
      <c r="M33" s="10" t="s">
        <v>15</v>
      </c>
      <c r="N33" s="10" t="s">
        <v>16</v>
      </c>
      <c r="O33" s="10" t="s">
        <v>17</v>
      </c>
      <c r="P33" s="10" t="s">
        <v>18</v>
      </c>
      <c r="Q33" s="10" t="s">
        <v>19</v>
      </c>
      <c r="R33" s="10" t="s">
        <v>20</v>
      </c>
      <c r="S33" s="10" t="s">
        <v>21</v>
      </c>
      <c r="T33" s="10" t="s">
        <v>24</v>
      </c>
      <c r="U33" s="10" t="s">
        <v>25</v>
      </c>
      <c r="V33" s="10" t="s">
        <v>26</v>
      </c>
      <c r="W33" s="10" t="s">
        <v>27</v>
      </c>
      <c r="X33" s="10" t="s">
        <v>28</v>
      </c>
      <c r="Y33" s="10" t="s">
        <v>29</v>
      </c>
      <c r="Z33" s="10" t="s">
        <v>30</v>
      </c>
      <c r="AA33" s="10" t="s">
        <v>31</v>
      </c>
      <c r="AB33" s="10" t="s">
        <v>32</v>
      </c>
      <c r="AC33" s="10" t="s">
        <v>33</v>
      </c>
      <c r="AD33" s="10" t="s">
        <v>34</v>
      </c>
      <c r="AE33" s="10" t="s">
        <v>35</v>
      </c>
      <c r="AF33" s="10" t="s">
        <v>36</v>
      </c>
      <c r="AG33" s="10" t="s">
        <v>37</v>
      </c>
      <c r="AH33" s="10" t="s">
        <v>38</v>
      </c>
      <c r="AI33" s="10" t="s">
        <v>39</v>
      </c>
      <c r="AJ33" s="10" t="s">
        <v>40</v>
      </c>
      <c r="AK33" s="10" t="s">
        <v>41</v>
      </c>
      <c r="AL33" s="10" t="s">
        <v>42</v>
      </c>
      <c r="AM33" s="10" t="s">
        <v>43</v>
      </c>
    </row>
  </sheetData>
  <sortState xmlns:xlrd2="http://schemas.microsoft.com/office/spreadsheetml/2017/richdata2" ref="A2:AM33">
    <sortCondition ref="B2:B33"/>
  </sortState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19AE-C1A6-4097-AE67-7E45489407C0}">
  <dimension ref="A1:AM33"/>
  <sheetViews>
    <sheetView topLeftCell="A10" workbookViewId="0">
      <selection activeCell="C36" sqref="C36"/>
    </sheetView>
  </sheetViews>
  <sheetFormatPr baseColWidth="10" defaultColWidth="11" defaultRowHeight="16" x14ac:dyDescent="0.2"/>
  <sheetData>
    <row r="1" spans="1:39" x14ac:dyDescent="0.2">
      <c r="A1" s="1" t="s">
        <v>0</v>
      </c>
      <c r="B1" s="4"/>
      <c r="C1" s="4"/>
      <c r="D1" s="4"/>
      <c r="E1" s="4"/>
    </row>
    <row r="2" spans="1:39" x14ac:dyDescent="0.2">
      <c r="A2" s="1" t="s">
        <v>1</v>
      </c>
      <c r="B2" s="4"/>
      <c r="C2" s="4"/>
      <c r="D2" s="4"/>
      <c r="E2" s="4"/>
    </row>
    <row r="3" spans="1:39" x14ac:dyDescent="0.2">
      <c r="A3" s="1" t="s">
        <v>105</v>
      </c>
      <c r="B3" s="4"/>
      <c r="C3" s="4"/>
      <c r="D3" s="4"/>
      <c r="E3" s="4"/>
    </row>
    <row r="4" spans="1:39" x14ac:dyDescent="0.2">
      <c r="A4" s="1" t="s">
        <v>3</v>
      </c>
      <c r="B4" s="4"/>
      <c r="C4" s="4"/>
      <c r="D4" s="4"/>
      <c r="E4" s="4"/>
    </row>
    <row r="5" spans="1:39" x14ac:dyDescent="0.2">
      <c r="A5" s="1" t="s">
        <v>4</v>
      </c>
      <c r="B5" s="4"/>
      <c r="C5" s="4"/>
      <c r="D5" s="4"/>
      <c r="E5" s="4"/>
    </row>
    <row r="6" spans="1:39" x14ac:dyDescent="0.2">
      <c r="A6" s="1" t="s">
        <v>5</v>
      </c>
      <c r="B6" s="4"/>
      <c r="C6" s="4"/>
      <c r="D6" s="4"/>
      <c r="E6" s="4"/>
    </row>
    <row r="7" spans="1:39" x14ac:dyDescent="0.2">
      <c r="A7" s="4"/>
      <c r="B7" s="4"/>
      <c r="C7" s="4"/>
      <c r="D7" s="4"/>
      <c r="E7" s="4"/>
    </row>
    <row r="8" spans="1:39" x14ac:dyDescent="0.2">
      <c r="A8" s="4"/>
      <c r="B8" s="4"/>
      <c r="C8" s="4"/>
      <c r="D8" s="4"/>
      <c r="E8" s="4"/>
    </row>
    <row r="9" spans="1:39" x14ac:dyDescent="0.2">
      <c r="A9" s="1" t="s">
        <v>6</v>
      </c>
      <c r="B9" s="2" t="s">
        <v>7</v>
      </c>
      <c r="C9" s="2" t="s">
        <v>8</v>
      </c>
      <c r="D9" s="2" t="s">
        <v>9</v>
      </c>
      <c r="E9" s="2" t="s">
        <v>82</v>
      </c>
      <c r="F9" s="2" t="s">
        <v>10</v>
      </c>
      <c r="G9" s="2" t="s">
        <v>11</v>
      </c>
      <c r="H9" s="2" t="s">
        <v>12</v>
      </c>
      <c r="I9" s="2" t="s">
        <v>13</v>
      </c>
      <c r="J9" s="2" t="s">
        <v>14</v>
      </c>
      <c r="K9" s="2" t="s">
        <v>15</v>
      </c>
      <c r="L9" s="2" t="s">
        <v>16</v>
      </c>
      <c r="M9" s="2" t="s">
        <v>17</v>
      </c>
      <c r="N9" s="2" t="s">
        <v>18</v>
      </c>
      <c r="O9" s="2" t="s">
        <v>19</v>
      </c>
      <c r="P9" s="2" t="s">
        <v>20</v>
      </c>
      <c r="Q9" s="2" t="s">
        <v>21</v>
      </c>
      <c r="R9" s="2" t="s">
        <v>22</v>
      </c>
      <c r="S9" s="2" t="s">
        <v>23</v>
      </c>
      <c r="T9" s="2" t="s">
        <v>24</v>
      </c>
      <c r="U9" s="2" t="s">
        <v>25</v>
      </c>
      <c r="V9" s="2" t="s">
        <v>26</v>
      </c>
      <c r="W9" s="2" t="s">
        <v>27</v>
      </c>
      <c r="X9" s="2" t="s">
        <v>28</v>
      </c>
      <c r="Y9" s="2" t="s">
        <v>29</v>
      </c>
      <c r="Z9" s="2" t="s">
        <v>30</v>
      </c>
      <c r="AA9" s="2" t="s">
        <v>31</v>
      </c>
      <c r="AB9" s="2" t="s">
        <v>32</v>
      </c>
      <c r="AC9" s="2" t="s">
        <v>33</v>
      </c>
      <c r="AD9" s="2" t="s">
        <v>34</v>
      </c>
      <c r="AE9" s="2" t="s">
        <v>35</v>
      </c>
      <c r="AF9" s="2" t="s">
        <v>36</v>
      </c>
      <c r="AG9" s="2" t="s">
        <v>37</v>
      </c>
      <c r="AH9" s="2" t="s">
        <v>38</v>
      </c>
      <c r="AI9" s="2" t="s">
        <v>39</v>
      </c>
      <c r="AJ9" s="2" t="s">
        <v>40</v>
      </c>
      <c r="AK9" s="2" t="s">
        <v>41</v>
      </c>
      <c r="AL9" s="2" t="s">
        <v>42</v>
      </c>
      <c r="AM9" s="2" t="s">
        <v>43</v>
      </c>
    </row>
    <row r="10" spans="1:39" x14ac:dyDescent="0.2">
      <c r="A10" s="1">
        <v>0</v>
      </c>
      <c r="B10" s="2">
        <v>2.1</v>
      </c>
      <c r="C10" s="2" t="s">
        <v>44</v>
      </c>
      <c r="D10" s="2" t="s">
        <v>45</v>
      </c>
      <c r="E10" s="2" t="s">
        <v>83</v>
      </c>
      <c r="F10">
        <f>MEDIAN('P1'!E10,'P2'!E10,'P3'!E10,'P4'!E10,'P5'!E10)</f>
        <v>84.935304990757899</v>
      </c>
      <c r="G10">
        <f>MEDIAN('P1'!F10,'P2'!F10,'P3'!F10,'P4'!F10,'P5'!F10)</f>
        <v>1630</v>
      </c>
      <c r="H10">
        <f>MEDIAN('P1'!G10,'P2'!G10,'P3'!G10,'P4'!G10,'P5'!G10)</f>
        <v>15.064695009242101</v>
      </c>
      <c r="I10">
        <f>MEDIAN('P1'!H10,'P2'!H10,'P3'!H10,'P4'!H10,'P5'!H10)</f>
        <v>68.323920295898802</v>
      </c>
      <c r="J10">
        <f>MEDIAN('P1'!I10,'P2'!I10,'P3'!I10,'P4'!I10,'P5'!I10)</f>
        <v>84.935304990757899</v>
      </c>
      <c r="K10">
        <f>MEDIAN('P1'!J10,'P2'!J10,'P3'!J10,'P4'!J10,'P5'!J10)</f>
        <v>81.985687093446401</v>
      </c>
      <c r="L10">
        <f>MEDIAN('P1'!K10,'P2'!K10,'P3'!K10,'P4'!K10,'P5'!K10)</f>
        <v>59.804547453611399</v>
      </c>
      <c r="M10">
        <f>MEDIAN('P1'!L10,'P2'!L10,'P3'!L10,'P4'!L10,'P5'!L10)</f>
        <v>84.935304990757899</v>
      </c>
      <c r="N10">
        <f>MEDIAN('P1'!M10,'P2'!M10,'P3'!M10,'P4'!M10,'P5'!M10)</f>
        <v>84.935304990757899</v>
      </c>
      <c r="O10">
        <f>MEDIAN('P1'!N10,'P2'!N10,'P3'!N10,'P4'!N10,'P5'!N10)</f>
        <v>61.861322139679203</v>
      </c>
      <c r="P10">
        <f>MEDIAN('P1'!O10,'P2'!O10,'P3'!O10,'P4'!O10,'P5'!O10)</f>
        <v>84.935304990757899</v>
      </c>
      <c r="Q10">
        <f>MEDIAN('P1'!P10,'P2'!P10,'P3'!P10,'P4'!P10,'P5'!P10)</f>
        <v>82.687127003841894</v>
      </c>
      <c r="R10">
        <f>MEDIAN('P1'!Q10,'P2'!Q10,'P3'!Q10,'P4'!Q10,'P5'!Q10)</f>
        <v>85.594552121529603</v>
      </c>
      <c r="S10">
        <f>MEDIAN('P1'!R10,'P2'!R10,'P3'!R10,'P4'!R10,'P5'!R10)</f>
        <v>275</v>
      </c>
      <c r="T10">
        <f>MEDIAN('P1'!S10,'P2'!S10,'P3'!S10,'P4'!S10,'P5'!S10)</f>
        <v>14.405447878470399</v>
      </c>
      <c r="U10">
        <f>MEDIAN('P1'!T10,'P2'!T10,'P3'!T10,'P4'!T10,'P5'!T10)</f>
        <v>70.711047482701005</v>
      </c>
      <c r="V10">
        <f>MEDIAN('P1'!U10,'P2'!U10,'P3'!U10,'P4'!U10,'P5'!U10)</f>
        <v>85.594552121529603</v>
      </c>
      <c r="W10">
        <f>MEDIAN('P1'!V10,'P2'!V10,'P3'!V10,'P4'!V10,'P5'!V10)</f>
        <v>82.770733114525299</v>
      </c>
      <c r="X10">
        <f>MEDIAN('P1'!W10,'P2'!W10,'P3'!W10,'P4'!W10,'P5'!W10)</f>
        <v>60.156446370530901</v>
      </c>
      <c r="Y10">
        <f>MEDIAN('P1'!X10,'P2'!X10,'P3'!X10,'P4'!X10,'P5'!X10)</f>
        <v>85.594552121529603</v>
      </c>
      <c r="Z10">
        <f>MEDIAN('P1'!Y10,'P2'!Y10,'P3'!Y10,'P4'!Y10,'P5'!Y10)</f>
        <v>85.594552121529603</v>
      </c>
      <c r="AA10">
        <f>MEDIAN('P1'!Z10,'P2'!Z10,'P3'!Z10,'P4'!Z10,'P5'!Z10)</f>
        <v>62.5092035361575</v>
      </c>
      <c r="AB10">
        <f>MEDIAN('P1'!AA10,'P2'!AA10,'P3'!AA10,'P4'!AA10,'P5'!AA10)</f>
        <v>85.594552121529603</v>
      </c>
      <c r="AC10">
        <f>MEDIAN('P1'!AB10,'P2'!AB10,'P3'!AB10,'P4'!AB10,'P5'!AB10)</f>
        <v>83.175059646293704</v>
      </c>
      <c r="AD10">
        <f>MEDIAN('P1'!AC10,'P2'!AC10,'P3'!AC10,'P4'!AC10,'P5'!AC10)</f>
        <v>543390.92004821205</v>
      </c>
      <c r="AE10">
        <f>MEDIAN('P1'!AD10,'P2'!AD10,'P3'!AD10,'P4'!AD10,'P5'!AD10)</f>
        <v>3.4451499999999999</v>
      </c>
      <c r="AF10">
        <f>MEDIAN('P1'!AE10,'P2'!AE10,'P3'!AE10,'P4'!AE10,'P5'!AE10)</f>
        <v>30933</v>
      </c>
      <c r="AG10">
        <f>MEDIAN('P1'!AF10,'P2'!AF10,'P3'!AF10,'P4'!AF10,'P5'!AF10)</f>
        <v>22748</v>
      </c>
      <c r="AH10">
        <f>MEDIAN('P1'!AG10,'P2'!AG10,'P3'!AG10,'P4'!AG10,'P5'!AG10)</f>
        <v>89386.5</v>
      </c>
      <c r="AI10" t="e">
        <f>MEDIAN('P1'!AH10,'P2'!AH10,'P3'!AH10,'P4'!AH10,'P5'!AH10)</f>
        <v>#NUM!</v>
      </c>
    </row>
    <row r="11" spans="1:39" x14ac:dyDescent="0.2">
      <c r="A11" s="1">
        <v>0</v>
      </c>
      <c r="B11" s="2">
        <v>2.1</v>
      </c>
      <c r="C11" s="2" t="s">
        <v>44</v>
      </c>
      <c r="D11" s="2" t="s">
        <v>51</v>
      </c>
      <c r="E11" s="2" t="s">
        <v>84</v>
      </c>
      <c r="F11">
        <f>MEDIAN('P1'!E19,'P2'!E19,'P3'!E19,'P4'!E19,'P5'!E19)</f>
        <v>85.203327171903894</v>
      </c>
      <c r="G11">
        <f>MEDIAN('P1'!F19,'P2'!F19,'P3'!F19,'P4'!F19,'P5'!F19)</f>
        <v>1601</v>
      </c>
      <c r="H11">
        <f>MEDIAN('P1'!G19,'P2'!G19,'P3'!G19,'P4'!G19,'P5'!G19)</f>
        <v>14.796672828096099</v>
      </c>
      <c r="I11">
        <f>MEDIAN('P1'!H19,'P2'!H19,'P3'!H19,'P4'!H19,'P5'!H19)</f>
        <v>69.131055724716006</v>
      </c>
      <c r="J11">
        <f>MEDIAN('P1'!I19,'P2'!I19,'P3'!I19,'P4'!I19,'P5'!I19)</f>
        <v>85.203327171903894</v>
      </c>
      <c r="K11">
        <f>MEDIAN('P1'!J19,'P2'!J19,'P3'!J19,'P4'!J19,'P5'!J19)</f>
        <v>81.973994280663703</v>
      </c>
      <c r="L11">
        <f>MEDIAN('P1'!K19,'P2'!K19,'P3'!K19,'P4'!K19,'P5'!K19)</f>
        <v>58.605891845045697</v>
      </c>
      <c r="M11">
        <f>MEDIAN('P1'!L19,'P2'!L19,'P3'!L19,'P4'!L19,'P5'!L19)</f>
        <v>85.203327171903894</v>
      </c>
      <c r="N11">
        <f>MEDIAN('P1'!M19,'P2'!M19,'P3'!M19,'P4'!M19,'P5'!M19)</f>
        <v>85.203327171903894</v>
      </c>
      <c r="O11">
        <f>MEDIAN('P1'!N19,'P2'!N19,'P3'!N19,'P4'!N19,'P5'!N19)</f>
        <v>60.587674973782697</v>
      </c>
      <c r="P11">
        <f>MEDIAN('P1'!O19,'P2'!O19,'P3'!O19,'P4'!O19,'P5'!O19)</f>
        <v>85.203327171903894</v>
      </c>
      <c r="Q11">
        <f>MEDIAN('P1'!P19,'P2'!P19,'P3'!P19,'P4'!P19,'P5'!P19)</f>
        <v>82.454181124750804</v>
      </c>
      <c r="R11">
        <f>MEDIAN('P1'!Q19,'P2'!Q19,'P3'!Q19,'P4'!Q19,'P5'!Q19)</f>
        <v>85.227867993714</v>
      </c>
      <c r="S11">
        <f>MEDIAN('P1'!R19,'P2'!R19,'P3'!R19,'P4'!R19,'P5'!R19)</f>
        <v>282</v>
      </c>
      <c r="T11">
        <f>MEDIAN('P1'!S19,'P2'!S19,'P3'!S19,'P4'!S19,'P5'!S19)</f>
        <v>14.772132006286</v>
      </c>
      <c r="U11">
        <f>MEDIAN('P1'!T19,'P2'!T19,'P3'!T19,'P4'!T19,'P5'!T19)</f>
        <v>69.130346211940505</v>
      </c>
      <c r="V11">
        <f>MEDIAN('P1'!U19,'P2'!U19,'P3'!U19,'P4'!U19,'P5'!U19)</f>
        <v>85.227867993714</v>
      </c>
      <c r="W11">
        <f>MEDIAN('P1'!V19,'P2'!V19,'P3'!V19,'P4'!V19,'P5'!V19)</f>
        <v>81.941489659630903</v>
      </c>
      <c r="X11">
        <f>MEDIAN('P1'!W19,'P2'!W19,'P3'!W19,'P4'!W19,'P5'!W19)</f>
        <v>58.342903575297903</v>
      </c>
      <c r="Y11">
        <f>MEDIAN('P1'!X19,'P2'!X19,'P3'!X19,'P4'!X19,'P5'!X19)</f>
        <v>85.227867993714</v>
      </c>
      <c r="Z11">
        <f>MEDIAN('P1'!Y19,'P2'!Y19,'P3'!Y19,'P4'!Y19,'P5'!Y19)</f>
        <v>85.227867993714</v>
      </c>
      <c r="AA11">
        <f>MEDIAN('P1'!Z19,'P2'!Z19,'P3'!Z19,'P4'!Z19,'P5'!Z19)</f>
        <v>60.273541965534903</v>
      </c>
      <c r="AB11">
        <f>MEDIAN('P1'!AA19,'P2'!AA19,'P3'!AA19,'P4'!AA19,'P5'!AA19)</f>
        <v>85.227867993714</v>
      </c>
      <c r="AC11">
        <f>MEDIAN('P1'!AB19,'P2'!AB19,'P3'!AB19,'P4'!AB19,'P5'!AB19)</f>
        <v>82.391024585355197</v>
      </c>
      <c r="AD11">
        <f>MEDIAN('P1'!AC19,'P2'!AC19,'P3'!AC19,'P4'!AC19,'P5'!AC19)</f>
        <v>56043.8820488649</v>
      </c>
      <c r="AE11">
        <f>MEDIAN('P1'!AD19,'P2'!AD19,'P3'!AD19,'P4'!AD19,'P5'!AD19)</f>
        <v>40.127955</v>
      </c>
      <c r="AF11">
        <f>MEDIAN('P1'!AE19,'P2'!AE19,'P3'!AE19,'P4'!AE19,'P5'!AE19)</f>
        <v>10530</v>
      </c>
      <c r="AG11">
        <f>MEDIAN('P1'!AF19,'P2'!AF19,'P3'!AF19,'P4'!AF19,'P5'!AF19)</f>
        <v>8924</v>
      </c>
      <c r="AH11">
        <f>MEDIAN('P1'!AG19,'P2'!AG19,'P3'!AG19,'P4'!AG19,'P5'!AG19)</f>
        <v>7605</v>
      </c>
      <c r="AI11" t="e">
        <f>MEDIAN('P1'!AH19,'P2'!AH19,'P3'!AH19,'P4'!AH19,'P5'!AH19)</f>
        <v>#NUM!</v>
      </c>
    </row>
    <row r="12" spans="1:39" x14ac:dyDescent="0.2">
      <c r="A12" s="1">
        <v>0</v>
      </c>
      <c r="B12" s="2">
        <v>2.11</v>
      </c>
      <c r="C12" s="2" t="s">
        <v>44</v>
      </c>
      <c r="D12" s="2" t="s">
        <v>51</v>
      </c>
      <c r="E12" s="2" t="s">
        <v>85</v>
      </c>
      <c r="F12">
        <f>MEDIAN('P1'!E20,'P2'!E20,'P3'!E20,'P4'!E20,'P5'!E20)</f>
        <v>82.948243992606294</v>
      </c>
      <c r="G12">
        <f>MEDIAN('P1'!F20,'P2'!F20,'P3'!F20,'P4'!F20,'P5'!F20)</f>
        <v>1845</v>
      </c>
      <c r="H12">
        <f>MEDIAN('P1'!G20,'P2'!G20,'P3'!G20,'P4'!G20,'P5'!G20)</f>
        <v>17.051756007393699</v>
      </c>
      <c r="I12">
        <f>MEDIAN('P1'!H20,'P2'!H20,'P3'!H20,'P4'!H20,'P5'!H20)</f>
        <v>63.064858195259397</v>
      </c>
      <c r="J12">
        <f>MEDIAN('P1'!I20,'P2'!I20,'P3'!I20,'P4'!I20,'P5'!I20)</f>
        <v>82.948243992606294</v>
      </c>
      <c r="K12">
        <f>MEDIAN('P1'!J20,'P2'!J20,'P3'!J20,'P4'!J20,'P5'!J20)</f>
        <v>80.2630133440463</v>
      </c>
      <c r="L12">
        <f>MEDIAN('P1'!K20,'P2'!K20,'P3'!K20,'P4'!K20,'P5'!K20)</f>
        <v>58.790608231487099</v>
      </c>
      <c r="M12">
        <f>MEDIAN('P1'!L20,'P2'!L20,'P3'!L20,'P4'!L20,'P5'!L20)</f>
        <v>82.948243992606294</v>
      </c>
      <c r="N12">
        <f>MEDIAN('P1'!M20,'P2'!M20,'P3'!M20,'P4'!M20,'P5'!M20)</f>
        <v>82.948243992606294</v>
      </c>
      <c r="O12">
        <f>MEDIAN('P1'!N20,'P2'!N20,'P3'!N20,'P4'!N20,'P5'!N20)</f>
        <v>60.084321817673498</v>
      </c>
      <c r="P12">
        <f>MEDIAN('P1'!O20,'P2'!O20,'P3'!O20,'P4'!O20,'P5'!O20)</f>
        <v>82.948243992606294</v>
      </c>
      <c r="Q12">
        <f>MEDIAN('P1'!P20,'P2'!P20,'P3'!P20,'P4'!P20,'P5'!P20)</f>
        <v>81.2925710350125</v>
      </c>
      <c r="R12">
        <f>MEDIAN('P1'!Q20,'P2'!Q20,'P3'!Q20,'P4'!Q20,'P5'!Q20)</f>
        <v>84.180199057097994</v>
      </c>
      <c r="S12">
        <f>MEDIAN('P1'!R20,'P2'!R20,'P3'!R20,'P4'!R20,'P5'!R20)</f>
        <v>302</v>
      </c>
      <c r="T12">
        <f>MEDIAN('P1'!S20,'P2'!S20,'P3'!S20,'P4'!S20,'P5'!S20)</f>
        <v>15.819800942902001</v>
      </c>
      <c r="U12">
        <f>MEDIAN('P1'!T20,'P2'!T20,'P3'!T20,'P4'!T20,'P5'!T20)</f>
        <v>66.041104902081301</v>
      </c>
      <c r="V12">
        <f>MEDIAN('P1'!U20,'P2'!U20,'P3'!U20,'P4'!U20,'P5'!U20)</f>
        <v>84.180199057097994</v>
      </c>
      <c r="W12">
        <f>MEDIAN('P1'!V20,'P2'!V20,'P3'!V20,'P4'!V20,'P5'!V20)</f>
        <v>81.310737834835393</v>
      </c>
      <c r="X12">
        <f>MEDIAN('P1'!W20,'P2'!W20,'P3'!W20,'P4'!W20,'P5'!W20)</f>
        <v>59.616251354279498</v>
      </c>
      <c r="Y12">
        <f>MEDIAN('P1'!X20,'P2'!X20,'P3'!X20,'P4'!X20,'P5'!X20)</f>
        <v>84.180199057097994</v>
      </c>
      <c r="Z12">
        <f>MEDIAN('P1'!Y20,'P2'!Y20,'P3'!Y20,'P4'!Y20,'P5'!Y20)</f>
        <v>84.180199057097994</v>
      </c>
      <c r="AA12">
        <f>MEDIAN('P1'!Z20,'P2'!Z20,'P3'!Z20,'P4'!Z20,'P5'!Z20)</f>
        <v>61.364355257232297</v>
      </c>
      <c r="AB12">
        <f>MEDIAN('P1'!AA20,'P2'!AA20,'P3'!AA20,'P4'!AA20,'P5'!AA20)</f>
        <v>84.180199057097994</v>
      </c>
      <c r="AC12">
        <f>MEDIAN('P1'!AB20,'P2'!AB20,'P3'!AB20,'P4'!AB20,'P5'!AB20)</f>
        <v>82.220556031342596</v>
      </c>
      <c r="AD12">
        <f>MEDIAN('P1'!AC20,'P2'!AC20,'P3'!AC20,'P4'!AC20,'P5'!AC20)</f>
        <v>251668.876328705</v>
      </c>
      <c r="AE12">
        <f>MEDIAN('P1'!AD20,'P2'!AD20,'P3'!AD20,'P4'!AD20,'P5'!AD20)</f>
        <v>57.323014999999998</v>
      </c>
      <c r="AF12">
        <f>MEDIAN('P1'!AE20,'P2'!AE20,'P3'!AE20,'P4'!AE20,'P5'!AE20)</f>
        <v>13530</v>
      </c>
      <c r="AG12">
        <f>MEDIAN('P1'!AF20,'P2'!AF20,'P3'!AF20,'P4'!AF20,'P5'!AF20)</f>
        <v>11924</v>
      </c>
      <c r="AH12">
        <f>MEDIAN('P1'!AG20,'P2'!AG20,'P3'!AG20,'P4'!AG20,'P5'!AG20)</f>
        <v>13254.5</v>
      </c>
      <c r="AI12" t="e">
        <f>MEDIAN('P1'!AH20,'P2'!AH20,'P3'!AH20,'P4'!AH20,'P5'!AH20)</f>
        <v>#NUM!</v>
      </c>
    </row>
    <row r="13" spans="1:39" x14ac:dyDescent="0.2">
      <c r="A13" s="1">
        <v>0</v>
      </c>
      <c r="B13" s="2">
        <v>2.12</v>
      </c>
      <c r="C13" s="2" t="s">
        <v>44</v>
      </c>
      <c r="D13" s="2" t="s">
        <v>51</v>
      </c>
      <c r="E13" s="2" t="s">
        <v>86</v>
      </c>
      <c r="F13">
        <f>MEDIAN('P1'!E21,'P2'!E21,'P3'!E21,'P4'!E21,'P5'!E21)</f>
        <v>85.471349353049902</v>
      </c>
      <c r="G13">
        <f>MEDIAN('P1'!F21,'P2'!F21,'P3'!F21,'P4'!F21,'P5'!F21)</f>
        <v>1572</v>
      </c>
      <c r="H13">
        <f>MEDIAN('P1'!G21,'P2'!G21,'P3'!G21,'P4'!G21,'P5'!G21)</f>
        <v>14.5286506469501</v>
      </c>
      <c r="I13">
        <f>MEDIAN('P1'!H21,'P2'!H21,'P3'!H21,'P4'!H21,'P5'!H21)</f>
        <v>70.8575029551521</v>
      </c>
      <c r="J13">
        <f>MEDIAN('P1'!I21,'P2'!I21,'P3'!I21,'P4'!I21,'P5'!I21)</f>
        <v>85.471349353049902</v>
      </c>
      <c r="K13">
        <f>MEDIAN('P1'!J21,'P2'!J21,'P3'!J21,'P4'!J21,'P5'!J21)</f>
        <v>81.918361587917303</v>
      </c>
      <c r="L13">
        <f>MEDIAN('P1'!K21,'P2'!K21,'P3'!K21,'P4'!K21,'P5'!K21)</f>
        <v>55.744061157306298</v>
      </c>
      <c r="M13">
        <f>MEDIAN('P1'!L21,'P2'!L21,'P3'!L21,'P4'!L21,'P5'!L21)</f>
        <v>85.471349353049902</v>
      </c>
      <c r="N13">
        <f>MEDIAN('P1'!M21,'P2'!M21,'P3'!M21,'P4'!M21,'P5'!M21)</f>
        <v>85.471349353049902</v>
      </c>
      <c r="O13">
        <f>MEDIAN('P1'!N21,'P2'!N21,'P3'!N21,'P4'!N21,'P5'!N21)</f>
        <v>56.775591209107603</v>
      </c>
      <c r="P13">
        <f>MEDIAN('P1'!O21,'P2'!O21,'P3'!O21,'P4'!O21,'P5'!O21)</f>
        <v>85.471349353049902</v>
      </c>
      <c r="Q13">
        <f>MEDIAN('P1'!P21,'P2'!P21,'P3'!P21,'P4'!P21,'P5'!P21)</f>
        <v>81.500293893021606</v>
      </c>
      <c r="R13">
        <f>MEDIAN('P1'!Q21,'P2'!Q21,'P3'!Q21,'P4'!Q21,'P5'!Q21)</f>
        <v>85.908852802514403</v>
      </c>
      <c r="S13">
        <f>MEDIAN('P1'!R21,'P2'!R21,'P3'!R21,'P4'!R21,'P5'!R21)</f>
        <v>269</v>
      </c>
      <c r="T13">
        <f>MEDIAN('P1'!S21,'P2'!S21,'P3'!S21,'P4'!S21,'P5'!S21)</f>
        <v>14.091147197485601</v>
      </c>
      <c r="U13">
        <f>MEDIAN('P1'!T21,'P2'!T21,'P3'!T21,'P4'!T21,'P5'!T21)</f>
        <v>74.883483005570099</v>
      </c>
      <c r="V13">
        <f>MEDIAN('P1'!U21,'P2'!U21,'P3'!U21,'P4'!U21,'P5'!U21)</f>
        <v>85.908852802514403</v>
      </c>
      <c r="W13">
        <f>MEDIAN('P1'!V21,'P2'!V21,'P3'!V21,'P4'!V21,'P5'!V21)</f>
        <v>83.120263449972498</v>
      </c>
      <c r="X13">
        <f>MEDIAN('P1'!W21,'P2'!W21,'P3'!W21,'P4'!W21,'P5'!W21)</f>
        <v>55.691874322860201</v>
      </c>
      <c r="Y13">
        <f>MEDIAN('P1'!X21,'P2'!X21,'P3'!X21,'P4'!X21,'P5'!X21)</f>
        <v>85.908852802514403</v>
      </c>
      <c r="Z13">
        <f>MEDIAN('P1'!Y21,'P2'!Y21,'P3'!Y21,'P4'!Y21,'P5'!Y21)</f>
        <v>85.908852802514403</v>
      </c>
      <c r="AA13">
        <f>MEDIAN('P1'!Z21,'P2'!Z21,'P3'!Z21,'P4'!Z21,'P5'!Z21)</f>
        <v>56.688907500229803</v>
      </c>
      <c r="AB13">
        <f>MEDIAN('P1'!AA21,'P2'!AA21,'P3'!AA21,'P4'!AA21,'P5'!AA21)</f>
        <v>85.908852802514403</v>
      </c>
      <c r="AC13">
        <f>MEDIAN('P1'!AB21,'P2'!AB21,'P3'!AB21,'P4'!AB21,'P5'!AB21)</f>
        <v>81.678669394594394</v>
      </c>
      <c r="AD13">
        <f>MEDIAN('P1'!AC21,'P2'!AC21,'P3'!AC21,'P4'!AC21,'P5'!AC21)</f>
        <v>570915.99831152405</v>
      </c>
      <c r="AE13">
        <f>MEDIAN('P1'!AD21,'P2'!AD21,'P3'!AD21,'P4'!AD21,'P5'!AD21)</f>
        <v>2.8168929999999999</v>
      </c>
      <c r="AF13">
        <f>MEDIAN('P1'!AE21,'P2'!AE21,'P3'!AE21,'P4'!AE21,'P5'!AE21)</f>
        <v>10625</v>
      </c>
      <c r="AG13">
        <f>MEDIAN('P1'!AF21,'P2'!AF21,'P3'!AF21,'P4'!AF21,'P5'!AF21)</f>
        <v>7016</v>
      </c>
      <c r="AH13">
        <f>MEDIAN('P1'!AG21,'P2'!AG21,'P3'!AG21,'P4'!AG21,'P5'!AG21)</f>
        <v>7028</v>
      </c>
      <c r="AI13" t="e">
        <f>MEDIAN('P1'!AH21,'P2'!AH21,'P3'!AH21,'P4'!AH21,'P5'!AH21)</f>
        <v>#NUM!</v>
      </c>
    </row>
    <row r="14" spans="1:39" x14ac:dyDescent="0.2">
      <c r="A14" s="1">
        <v>0</v>
      </c>
      <c r="B14" s="2">
        <v>2.13</v>
      </c>
      <c r="C14" s="2" t="s">
        <v>44</v>
      </c>
      <c r="D14" s="2" t="s">
        <v>51</v>
      </c>
      <c r="E14" s="2" t="s">
        <v>87</v>
      </c>
      <c r="F14">
        <f>MEDIAN('P1'!E22,'P2'!E22,'P3'!E22,'P4'!E22,'P5'!E22)</f>
        <v>78.243992606284706</v>
      </c>
      <c r="G14">
        <f>MEDIAN('P1'!F22,'P2'!F22,'P3'!F22,'P4'!F22,'P5'!F22)</f>
        <v>2354</v>
      </c>
      <c r="H14">
        <f>MEDIAN('P1'!G22,'P2'!G22,'P3'!G22,'P4'!G22,'P5'!G22)</f>
        <v>21.756007393715301</v>
      </c>
      <c r="I14">
        <f>MEDIAN('P1'!H22,'P2'!H22,'P3'!H22,'P4'!H22,'P5'!H22)</f>
        <v>59.030142080496198</v>
      </c>
      <c r="J14">
        <f>MEDIAN('P1'!I22,'P2'!I22,'P3'!I22,'P4'!I22,'P5'!I22)</f>
        <v>78.243992606284706</v>
      </c>
      <c r="K14">
        <f>MEDIAN('P1'!J22,'P2'!J22,'P3'!J22,'P4'!J22,'P5'!J22)</f>
        <v>79.494024384743099</v>
      </c>
      <c r="L14">
        <f>MEDIAN('P1'!K22,'P2'!K22,'P3'!K22,'P4'!K22,'P5'!K22)</f>
        <v>60.069502083634298</v>
      </c>
      <c r="M14">
        <f>MEDIAN('P1'!L22,'P2'!L22,'P3'!L22,'P4'!L22,'P5'!L22)</f>
        <v>78.243992606284706</v>
      </c>
      <c r="N14">
        <f>MEDIAN('P1'!M22,'P2'!M22,'P3'!M22,'P4'!M22,'P5'!M22)</f>
        <v>78.243992606284607</v>
      </c>
      <c r="O14">
        <f>MEDIAN('P1'!N22,'P2'!N22,'P3'!N22,'P4'!N22,'P5'!N22)</f>
        <v>59.470563763829801</v>
      </c>
      <c r="P14">
        <f>MEDIAN('P1'!O22,'P2'!O22,'P3'!O22,'P4'!O22,'P5'!O22)</f>
        <v>78.243992606284706</v>
      </c>
      <c r="Q14">
        <f>MEDIAN('P1'!P22,'P2'!P22,'P3'!P22,'P4'!P22,'P5'!P22)</f>
        <v>78.835442292793303</v>
      </c>
      <c r="R14">
        <f>MEDIAN('P1'!Q22,'P2'!Q22,'P3'!Q22,'P4'!Q22,'P5'!Q22)</f>
        <v>77.160817181770597</v>
      </c>
      <c r="S14">
        <f>MEDIAN('P1'!R22,'P2'!R22,'P3'!R22,'P4'!R22,'P5'!R22)</f>
        <v>436</v>
      </c>
      <c r="T14">
        <f>MEDIAN('P1'!S22,'P2'!S22,'P3'!S22,'P4'!S22,'P5'!S22)</f>
        <v>22.8391828182294</v>
      </c>
      <c r="U14">
        <f>MEDIAN('P1'!T22,'P2'!T22,'P3'!T22,'P4'!T22,'P5'!T22)</f>
        <v>58.209566571978399</v>
      </c>
      <c r="V14">
        <f>MEDIAN('P1'!U22,'P2'!U22,'P3'!U22,'P4'!U22,'P5'!U22)</f>
        <v>77.160817181770597</v>
      </c>
      <c r="W14">
        <f>MEDIAN('P1'!V22,'P2'!V22,'P3'!V22,'P4'!V22,'P5'!V22)</f>
        <v>79.229936355048096</v>
      </c>
      <c r="X14">
        <f>MEDIAN('P1'!W22,'P2'!W22,'P3'!W22,'P4'!W22,'P5'!W22)</f>
        <v>59.706500541711797</v>
      </c>
      <c r="Y14">
        <f>MEDIAN('P1'!X22,'P2'!X22,'P3'!X22,'P4'!X22,'P5'!X22)</f>
        <v>77.160817181770597</v>
      </c>
      <c r="Z14">
        <f>MEDIAN('P1'!Y22,'P2'!Y22,'P3'!Y22,'P4'!Y22,'P5'!Y22)</f>
        <v>77.160817181770597</v>
      </c>
      <c r="AA14">
        <f>MEDIAN('P1'!Z22,'P2'!Z22,'P3'!Z22,'P4'!Z22,'P5'!Z22)</f>
        <v>58.768408287494303</v>
      </c>
      <c r="AB14">
        <f>MEDIAN('P1'!AA22,'P2'!AA22,'P3'!AA22,'P4'!AA22,'P5'!AA22)</f>
        <v>77.160817181770597</v>
      </c>
      <c r="AC14">
        <f>MEDIAN('P1'!AB22,'P2'!AB22,'P3'!AB22,'P4'!AB22,'P5'!AB22)</f>
        <v>78.112894818650702</v>
      </c>
      <c r="AD14">
        <f>MEDIAN('P1'!AC22,'P2'!AC22,'P3'!AC22,'P4'!AC22,'P5'!AC22)</f>
        <v>222382.077895386</v>
      </c>
      <c r="AE14">
        <f>MEDIAN('P1'!AD22,'P2'!AD22,'P3'!AD22,'P4'!AD22,'P5'!AD22)</f>
        <v>95.759724000000006</v>
      </c>
      <c r="AF14">
        <f>MEDIAN('P1'!AE22,'P2'!AE22,'P3'!AE22,'P4'!AE22,'P5'!AE22)</f>
        <v>28530</v>
      </c>
      <c r="AG14">
        <f>MEDIAN('P1'!AF22,'P2'!AF22,'P3'!AF22,'P4'!AF22,'P5'!AF22)</f>
        <v>26924</v>
      </c>
      <c r="AH14">
        <f>MEDIAN('P1'!AG22,'P2'!AG22,'P3'!AG22,'P4'!AG22,'P5'!AG22)</f>
        <v>16750</v>
      </c>
      <c r="AI14" t="e">
        <f>MEDIAN('P1'!AH22,'P2'!AH22,'P3'!AH22,'P4'!AH22,'P5'!AH22)</f>
        <v>#NUM!</v>
      </c>
    </row>
    <row r="15" spans="1:39" x14ac:dyDescent="0.2">
      <c r="A15" s="1">
        <v>0</v>
      </c>
      <c r="B15" s="2">
        <v>2.14</v>
      </c>
      <c r="C15" s="2" t="s">
        <v>44</v>
      </c>
      <c r="D15" s="2" t="s">
        <v>51</v>
      </c>
      <c r="E15" s="2" t="s">
        <v>88</v>
      </c>
      <c r="F15">
        <f>MEDIAN('P1'!E23,'P2'!E23,'P3'!E23,'P4'!E23,'P5'!E23)</f>
        <v>84.454713493530505</v>
      </c>
      <c r="G15">
        <f>MEDIAN('P1'!F23,'P2'!F23,'P3'!F23,'P4'!F23,'P5'!F23)</f>
        <v>1682</v>
      </c>
      <c r="H15">
        <f>MEDIAN('P1'!G23,'P2'!G23,'P3'!G23,'P4'!G23,'P5'!G23)</f>
        <v>15.5452865064695</v>
      </c>
      <c r="I15">
        <f>MEDIAN('P1'!H23,'P2'!H23,'P3'!H23,'P4'!H23,'P5'!H23)</f>
        <v>66.486950181986302</v>
      </c>
      <c r="J15">
        <f>MEDIAN('P1'!I23,'P2'!I23,'P3'!I23,'P4'!I23,'P5'!I23)</f>
        <v>84.454713493530505</v>
      </c>
      <c r="K15">
        <f>MEDIAN('P1'!J23,'P2'!J23,'P3'!J23,'P4'!J23,'P5'!J23)</f>
        <v>81.219585125260195</v>
      </c>
      <c r="L15">
        <f>MEDIAN('P1'!K23,'P2'!K23,'P3'!K23,'P4'!K23,'P5'!K23)</f>
        <v>58.677803097101901</v>
      </c>
      <c r="M15">
        <f>MEDIAN('P1'!L23,'P2'!L23,'P3'!L23,'P4'!L23,'P5'!L23)</f>
        <v>84.454713493530505</v>
      </c>
      <c r="N15">
        <f>MEDIAN('P1'!M23,'P2'!M23,'P3'!M23,'P4'!M23,'P5'!M23)</f>
        <v>84.454713493530505</v>
      </c>
      <c r="O15">
        <f>MEDIAN('P1'!N23,'P2'!N23,'P3'!N23,'P4'!N23,'P5'!N23)</f>
        <v>60.442884312340396</v>
      </c>
      <c r="P15">
        <f>MEDIAN('P1'!O23,'P2'!O23,'P3'!O23,'P4'!O23,'P5'!O23)</f>
        <v>84.454713493530505</v>
      </c>
      <c r="Q15">
        <f>MEDIAN('P1'!P23,'P2'!P23,'P3'!P23,'P4'!P23,'P5'!P23)</f>
        <v>82.079165980231295</v>
      </c>
      <c r="R15">
        <f>MEDIAN('P1'!Q23,'P2'!Q23,'P3'!Q23,'P4'!Q23,'P5'!Q23)</f>
        <v>85.123101100052395</v>
      </c>
      <c r="S15">
        <f>MEDIAN('P1'!R23,'P2'!R23,'P3'!R23,'P4'!R23,'P5'!R23)</f>
        <v>284</v>
      </c>
      <c r="T15">
        <f>MEDIAN('P1'!S23,'P2'!S23,'P3'!S23,'P4'!S23,'P5'!S23)</f>
        <v>14.8768988999476</v>
      </c>
      <c r="U15">
        <f>MEDIAN('P1'!T23,'P2'!T23,'P3'!T23,'P4'!T23,'P5'!T23)</f>
        <v>68.8025799214806</v>
      </c>
      <c r="V15">
        <f>MEDIAN('P1'!U23,'P2'!U23,'P3'!U23,'P4'!U23,'P5'!U23)</f>
        <v>85.123101100052395</v>
      </c>
      <c r="W15">
        <f>MEDIAN('P1'!V23,'P2'!V23,'P3'!V23,'P4'!V23,'P5'!V23)</f>
        <v>82.010678231960199</v>
      </c>
      <c r="X15">
        <f>MEDIAN('P1'!W23,'P2'!W23,'P3'!W23,'P4'!W23,'P5'!W23)</f>
        <v>59.153087757313102</v>
      </c>
      <c r="Y15">
        <f>MEDIAN('P1'!X23,'P2'!X23,'P3'!X23,'P4'!X23,'P5'!X23)</f>
        <v>85.123101100052395</v>
      </c>
      <c r="Z15">
        <f>MEDIAN('P1'!Y23,'P2'!Y23,'P3'!Y23,'P4'!Y23,'P5'!Y23)</f>
        <v>85.123101100052395</v>
      </c>
      <c r="AA15">
        <f>MEDIAN('P1'!Z23,'P2'!Z23,'P3'!Z23,'P4'!Z23,'P5'!Z23)</f>
        <v>61.199186991869901</v>
      </c>
      <c r="AB15">
        <f>MEDIAN('P1'!AA23,'P2'!AA23,'P3'!AA23,'P4'!AA23,'P5'!AA23)</f>
        <v>85.123101100052395</v>
      </c>
      <c r="AC15">
        <f>MEDIAN('P1'!AB23,'P2'!AB23,'P3'!AB23,'P4'!AB23,'P5'!AB23)</f>
        <v>82.601434369503494</v>
      </c>
      <c r="AD15">
        <f>MEDIAN('P1'!AC23,'P2'!AC23,'P3'!AC23,'P4'!AC23,'P5'!AC23)</f>
        <v>229753.25943857001</v>
      </c>
      <c r="AE15">
        <f>MEDIAN('P1'!AD23,'P2'!AD23,'P3'!AD23,'P4'!AD23,'P5'!AD23)</f>
        <v>54.462150999999999</v>
      </c>
      <c r="AF15">
        <f>MEDIAN('P1'!AE23,'P2'!AE23,'P3'!AE23,'P4'!AE23,'P5'!AE23)</f>
        <v>12302</v>
      </c>
      <c r="AG15">
        <f>MEDIAN('P1'!AF23,'P2'!AF23,'P3'!AF23,'P4'!AF23,'P5'!AF23)</f>
        <v>10172</v>
      </c>
      <c r="AH15">
        <f>MEDIAN('P1'!AG23,'P2'!AG23,'P3'!AG23,'P4'!AG23,'P5'!AG23)</f>
        <v>12194.5</v>
      </c>
      <c r="AI15" t="e">
        <f>MEDIAN('P1'!AH23,'P2'!AH23,'P3'!AH23,'P4'!AH23,'P5'!AH23)</f>
        <v>#NUM!</v>
      </c>
    </row>
    <row r="16" spans="1:39" x14ac:dyDescent="0.2">
      <c r="A16" s="1">
        <v>0</v>
      </c>
      <c r="B16" s="2">
        <v>2.15</v>
      </c>
      <c r="C16" s="2" t="s">
        <v>44</v>
      </c>
      <c r="D16" s="2" t="s">
        <v>58</v>
      </c>
      <c r="E16" s="2" t="s">
        <v>89</v>
      </c>
      <c r="F16">
        <f>MEDIAN('P1'!E24,'P2'!E24,'P3'!E24,'P4'!E24,'P5'!E24)</f>
        <v>84.306839186691306</v>
      </c>
      <c r="G16">
        <f>MEDIAN('P1'!F24,'P2'!F24,'P3'!F24,'P4'!F24,'P5'!F24)</f>
        <v>1698</v>
      </c>
      <c r="H16">
        <f>MEDIAN('P1'!G24,'P2'!G24,'P3'!G24,'P4'!G24,'P5'!G24)</f>
        <v>15.693160813308699</v>
      </c>
      <c r="I16">
        <f>MEDIAN('P1'!H24,'P2'!H24,'P3'!H24,'P4'!H24,'P5'!H24)</f>
        <v>66.060467716713404</v>
      </c>
      <c r="J16">
        <f>MEDIAN('P1'!I24,'P2'!I24,'P3'!I24,'P4'!I24,'P5'!I24)</f>
        <v>84.306839186691306</v>
      </c>
      <c r="K16">
        <f>MEDIAN('P1'!J24,'P2'!J24,'P3'!J24,'P4'!J24,'P5'!J24)</f>
        <v>81.099469201734294</v>
      </c>
      <c r="L16">
        <f>MEDIAN('P1'!K24,'P2'!K24,'P3'!K24,'P4'!K24,'P5'!K24)</f>
        <v>58.693271359676402</v>
      </c>
      <c r="M16">
        <f>MEDIAN('P1'!L24,'P2'!L24,'P3'!L24,'P4'!L24,'P5'!L24)</f>
        <v>84.306839186691306</v>
      </c>
      <c r="N16">
        <f>MEDIAN('P1'!M24,'P2'!M24,'P3'!M24,'P4'!M24,'P5'!M24)</f>
        <v>84.306839186691306</v>
      </c>
      <c r="O16">
        <f>MEDIAN('P1'!N24,'P2'!N24,'P3'!N24,'P4'!N24,'P5'!N24)</f>
        <v>60.414262273083501</v>
      </c>
      <c r="P16">
        <f>MEDIAN('P1'!O24,'P2'!O24,'P3'!O24,'P4'!O24,'P5'!O24)</f>
        <v>84.306839186691306</v>
      </c>
      <c r="Q16">
        <f>MEDIAN('P1'!P24,'P2'!P24,'P3'!P24,'P4'!P24,'P5'!P24)</f>
        <v>82.004556614716293</v>
      </c>
      <c r="R16">
        <f>MEDIAN('P1'!Q24,'P2'!Q24,'P3'!Q24,'P4'!Q24,'P5'!Q24)</f>
        <v>85.489785227867998</v>
      </c>
      <c r="S16">
        <f>MEDIAN('P1'!R24,'P2'!R24,'P3'!R24,'P4'!R24,'P5'!R24)</f>
        <v>277</v>
      </c>
      <c r="T16">
        <f>MEDIAN('P1'!S24,'P2'!S24,'P3'!S24,'P4'!S24,'P5'!S24)</f>
        <v>14.510214772132001</v>
      </c>
      <c r="U16">
        <f>MEDIAN('P1'!T24,'P2'!T24,'P3'!T24,'P4'!T24,'P5'!T24)</f>
        <v>70.3720537983002</v>
      </c>
      <c r="V16">
        <f>MEDIAN('P1'!U24,'P2'!U24,'P3'!U24,'P4'!U24,'P5'!U24)</f>
        <v>85.489785227867998</v>
      </c>
      <c r="W16">
        <f>MEDIAN('P1'!V24,'P2'!V24,'P3'!V24,'P4'!V24,'P5'!V24)</f>
        <v>82.2483735681013</v>
      </c>
      <c r="X16">
        <f>MEDIAN('P1'!W24,'P2'!W24,'P3'!W24,'P4'!W24,'P5'!W24)</f>
        <v>58.060888407367301</v>
      </c>
      <c r="Y16">
        <f>MEDIAN('P1'!X24,'P2'!X24,'P3'!X24,'P4'!X24,'P5'!X24)</f>
        <v>85.489785227867998</v>
      </c>
      <c r="Z16">
        <f>MEDIAN('P1'!Y24,'P2'!Y24,'P3'!Y24,'P4'!Y24,'P5'!Y24)</f>
        <v>85.489785227867998</v>
      </c>
      <c r="AA16">
        <f>MEDIAN('P1'!Z24,'P2'!Z24,'P3'!Z24,'P4'!Z24,'P5'!Z24)</f>
        <v>59.991601756821701</v>
      </c>
      <c r="AB16">
        <f>MEDIAN('P1'!AA24,'P2'!AA24,'P3'!AA24,'P4'!AA24,'P5'!AA24)</f>
        <v>85.489785227867998</v>
      </c>
      <c r="AC16">
        <f>MEDIAN('P1'!AB24,'P2'!AB24,'P3'!AB24,'P4'!AB24,'P5'!AB24)</f>
        <v>82.427995480360494</v>
      </c>
      <c r="AD16">
        <f>MEDIAN('P1'!AC24,'P2'!AC24,'P3'!AC24,'P4'!AC24,'P5'!AC24)</f>
        <v>232713.19496720101</v>
      </c>
      <c r="AE16">
        <f>MEDIAN('P1'!AD24,'P2'!AD24,'P3'!AD24,'P4'!AD24,'P5'!AD24)</f>
        <v>69.776713999999998</v>
      </c>
      <c r="AF16">
        <f>MEDIAN('P1'!AE24,'P2'!AE24,'P3'!AE24,'P4'!AE24,'P5'!AE24)</f>
        <v>14074</v>
      </c>
      <c r="AG16">
        <f>MEDIAN('P1'!AF24,'P2'!AF24,'P3'!AF24,'P4'!AF24,'P5'!AF24)</f>
        <v>11420</v>
      </c>
      <c r="AH16">
        <f>MEDIAN('P1'!AG24,'P2'!AG24,'P3'!AG24,'P4'!AG24,'P5'!AG24)</f>
        <v>1571184.5</v>
      </c>
      <c r="AI16" t="e">
        <f>MEDIAN('P1'!AH24,'P2'!AH24,'P3'!AH24,'P4'!AH24,'P5'!AH24)</f>
        <v>#NUM!</v>
      </c>
    </row>
    <row r="17" spans="1:35" x14ac:dyDescent="0.2">
      <c r="A17" s="1">
        <v>0</v>
      </c>
      <c r="B17" s="2">
        <v>2.16</v>
      </c>
      <c r="C17" s="2" t="s">
        <v>44</v>
      </c>
      <c r="D17" s="2" t="s">
        <v>58</v>
      </c>
      <c r="E17" s="2" t="s">
        <v>90</v>
      </c>
      <c r="F17">
        <f>MEDIAN('P1'!E25,'P2'!E25,'P3'!E25,'P4'!E25,'P5'!E25)</f>
        <v>85.120147874306795</v>
      </c>
      <c r="G17">
        <f>MEDIAN('P1'!F25,'P2'!F25,'P3'!F25,'P4'!F25,'P5'!F25)</f>
        <v>1610</v>
      </c>
      <c r="H17">
        <f>MEDIAN('P1'!G25,'P2'!G25,'P3'!G25,'P4'!G25,'P5'!G25)</f>
        <v>14.879852125693199</v>
      </c>
      <c r="I17">
        <f>MEDIAN('P1'!H25,'P2'!H25,'P3'!H25,'P4'!H25,'P5'!H25)</f>
        <v>92.558698465520393</v>
      </c>
      <c r="J17">
        <f>MEDIAN('P1'!I25,'P2'!I25,'P3'!I25,'P4'!I25,'P5'!I25)</f>
        <v>85.120147874306795</v>
      </c>
      <c r="K17">
        <f>MEDIAN('P1'!J25,'P2'!J25,'P3'!J25,'P4'!J25,'P5'!J25)</f>
        <v>87.334657203421798</v>
      </c>
      <c r="L17">
        <f>MEDIAN('P1'!K25,'P2'!K25,'P3'!K25,'P4'!K25,'P5'!K25)</f>
        <v>50.062034739454099</v>
      </c>
      <c r="M17">
        <f>MEDIAN('P1'!L25,'P2'!L25,'P3'!L25,'P4'!L25,'P5'!L25)</f>
        <v>85.120147874306795</v>
      </c>
      <c r="N17">
        <f>MEDIAN('P1'!M25,'P2'!M25,'P3'!M25,'P4'!M25,'P5'!M25)</f>
        <v>85.120147874306795</v>
      </c>
      <c r="O17">
        <f>MEDIAN('P1'!N25,'P2'!N25,'P3'!N25,'P4'!N25,'P5'!N25)</f>
        <v>46.104141443880103</v>
      </c>
      <c r="P17">
        <f>MEDIAN('P1'!O25,'P2'!O25,'P3'!O25,'P4'!O25,'P5'!O25)</f>
        <v>85.120147874306795</v>
      </c>
      <c r="Q17">
        <f>MEDIAN('P1'!P25,'P2'!P25,'P3'!P25,'P4'!P25,'P5'!P25)</f>
        <v>78.296796760578104</v>
      </c>
      <c r="R17">
        <f>MEDIAN('P1'!Q25,'P2'!Q25,'P3'!Q25,'P4'!Q25,'P5'!Q25)</f>
        <v>85.175484546883197</v>
      </c>
      <c r="S17">
        <f>MEDIAN('P1'!R25,'P2'!R25,'P3'!R25,'P4'!R25,'P5'!R25)</f>
        <v>283</v>
      </c>
      <c r="T17">
        <f>MEDIAN('P1'!S25,'P2'!S25,'P3'!S25,'P4'!S25,'P5'!S25)</f>
        <v>14.824515453116801</v>
      </c>
      <c r="U17">
        <f>MEDIAN('P1'!T25,'P2'!T25,'P3'!T25,'P4'!T25,'P5'!T25)</f>
        <v>92.583857442348005</v>
      </c>
      <c r="V17">
        <f>MEDIAN('P1'!U25,'P2'!U25,'P3'!U25,'P4'!U25,'P5'!U25)</f>
        <v>85.175484546883197</v>
      </c>
      <c r="W17">
        <f>MEDIAN('P1'!V25,'P2'!V25,'P3'!V25,'P4'!V25,'P5'!V25)</f>
        <v>87.374298945851805</v>
      </c>
      <c r="X17">
        <f>MEDIAN('P1'!W25,'P2'!W25,'P3'!W25,'P4'!W25,'P5'!W25)</f>
        <v>50.176056338028197</v>
      </c>
      <c r="Y17">
        <f>MEDIAN('P1'!X25,'P2'!X25,'P3'!X25,'P4'!X25,'P5'!X25)</f>
        <v>85.175484546883197</v>
      </c>
      <c r="Z17">
        <f>MEDIAN('P1'!Y25,'P2'!Y25,'P3'!Y25,'P4'!Y25,'P5'!Y25)</f>
        <v>85.175484546883197</v>
      </c>
      <c r="AA17">
        <f>MEDIAN('P1'!Z25,'P2'!Z25,'P3'!Z25,'P4'!Z25,'P5'!Z25)</f>
        <v>46.3457823727164</v>
      </c>
      <c r="AB17">
        <f>MEDIAN('P1'!AA25,'P2'!AA25,'P3'!AA25,'P4'!AA25,'P5'!AA25)</f>
        <v>85.175484546883197</v>
      </c>
      <c r="AC17">
        <f>MEDIAN('P1'!AB25,'P2'!AB25,'P3'!AB25,'P4'!AB25,'P5'!AB25)</f>
        <v>78.408978564562204</v>
      </c>
      <c r="AD17">
        <f>MEDIAN('P1'!AC25,'P2'!AC25,'P3'!AC25,'P4'!AC25,'P5'!AC25)</f>
        <v>57536.665000478599</v>
      </c>
      <c r="AE17">
        <f>MEDIAN('P1'!AD25,'P2'!AD25,'P3'!AD25,'P4'!AD25,'P5'!AD25)</f>
        <v>65.589530999999994</v>
      </c>
      <c r="AF17">
        <f>MEDIAN('P1'!AE25,'P2'!AE25,'P3'!AE25,'P4'!AE25,'P5'!AE25)</f>
        <v>19260</v>
      </c>
      <c r="AG17">
        <f>MEDIAN('P1'!AF25,'P2'!AF25,'P3'!AF25,'P4'!AF25,'P5'!AF25)</f>
        <v>27190</v>
      </c>
      <c r="AH17">
        <f>MEDIAN('P1'!AG25,'P2'!AG25,'P3'!AG25,'P4'!AG25,'P5'!AG25)</f>
        <v>362596</v>
      </c>
      <c r="AI17" t="e">
        <f>MEDIAN('P1'!AH25,'P2'!AH25,'P3'!AH25,'P4'!AH25,'P5'!AH25)</f>
        <v>#NUM!</v>
      </c>
    </row>
    <row r="18" spans="1:35" x14ac:dyDescent="0.2">
      <c r="A18" s="1">
        <v>0</v>
      </c>
      <c r="B18" s="2">
        <v>2.17</v>
      </c>
      <c r="C18" s="2" t="s">
        <v>44</v>
      </c>
      <c r="D18" s="2" t="s">
        <v>58</v>
      </c>
      <c r="E18" s="2" t="s">
        <v>91</v>
      </c>
      <c r="F18">
        <f>MEDIAN('P1'!E26,'P2'!E26,'P3'!E26,'P4'!E26,'P5'!E26)</f>
        <v>85.443622920517598</v>
      </c>
      <c r="G18">
        <f>MEDIAN('P1'!F26,'P2'!F26,'P3'!F26,'P4'!F26,'P5'!F26)</f>
        <v>1575</v>
      </c>
      <c r="H18">
        <f>MEDIAN('P1'!G26,'P2'!G26,'P3'!G26,'P4'!G26,'P5'!G26)</f>
        <v>14.556377079482401</v>
      </c>
      <c r="I18">
        <f>MEDIAN('P1'!H26,'P2'!H26,'P3'!H26,'P4'!H26,'P5'!H26)</f>
        <v>71.592794646191905</v>
      </c>
      <c r="J18">
        <f>MEDIAN('P1'!I26,'P2'!I26,'P3'!I26,'P4'!I26,'P5'!I26)</f>
        <v>85.443622920517598</v>
      </c>
      <c r="K18">
        <f>MEDIAN('P1'!J26,'P2'!J26,'P3'!J26,'P4'!J26,'P5'!J26)</f>
        <v>81.813398062917898</v>
      </c>
      <c r="L18">
        <f>MEDIAN('P1'!K26,'P2'!K26,'P3'!K26,'P4'!K26,'P5'!K26)</f>
        <v>54.039008586772098</v>
      </c>
      <c r="M18">
        <f>MEDIAN('P1'!L26,'P2'!L26,'P3'!L26,'P4'!L26,'P5'!L26)</f>
        <v>85.443622920517598</v>
      </c>
      <c r="N18">
        <f>MEDIAN('P1'!M26,'P2'!M26,'P3'!M26,'P4'!M26,'P5'!M26)</f>
        <v>85.443622920517598</v>
      </c>
      <c r="O18">
        <f>MEDIAN('P1'!N26,'P2'!N26,'P3'!N26,'P4'!N26,'P5'!N26)</f>
        <v>54.015684290412302</v>
      </c>
      <c r="P18">
        <f>MEDIAN('P1'!O26,'P2'!O26,'P3'!O26,'P4'!O26,'P5'!O26)</f>
        <v>85.443622920517598</v>
      </c>
      <c r="Q18">
        <f>MEDIAN('P1'!P26,'P2'!P26,'P3'!P26,'P4'!P26,'P5'!P26)</f>
        <v>80.703959509448595</v>
      </c>
      <c r="R18">
        <f>MEDIAN('P1'!Q26,'P2'!Q26,'P3'!Q26,'P4'!Q26,'P5'!Q26)</f>
        <v>85.123101100052395</v>
      </c>
      <c r="S18">
        <f>MEDIAN('P1'!R26,'P2'!R26,'P3'!R26,'P4'!R26,'P5'!R26)</f>
        <v>284</v>
      </c>
      <c r="T18">
        <f>MEDIAN('P1'!S26,'P2'!S26,'P3'!S26,'P4'!S26,'P5'!S26)</f>
        <v>14.8768988999476</v>
      </c>
      <c r="U18">
        <f>MEDIAN('P1'!T26,'P2'!T26,'P3'!T26,'P4'!T26,'P5'!T26)</f>
        <v>68.053311793214903</v>
      </c>
      <c r="V18">
        <f>MEDIAN('P1'!U26,'P2'!U26,'P3'!U26,'P4'!U26,'P5'!U26)</f>
        <v>85.123101100052395</v>
      </c>
      <c r="W18">
        <f>MEDIAN('P1'!V26,'P2'!V26,'P3'!V26,'P4'!V26,'P5'!V26)</f>
        <v>80.735077699291907</v>
      </c>
      <c r="X18">
        <f>MEDIAN('P1'!W26,'P2'!W26,'P3'!W26,'P4'!W26,'P5'!W26)</f>
        <v>53.777464788732402</v>
      </c>
      <c r="Y18">
        <f>MEDIAN('P1'!X26,'P2'!X26,'P3'!X26,'P4'!X26,'P5'!X26)</f>
        <v>85.123101100052395</v>
      </c>
      <c r="Z18">
        <f>MEDIAN('P1'!Y26,'P2'!Y26,'P3'!Y26,'P4'!Y26,'P5'!Y26)</f>
        <v>85.123101100052395</v>
      </c>
      <c r="AA18">
        <f>MEDIAN('P1'!Z26,'P2'!Z26,'P3'!Z26,'P4'!Z26,'P5'!Z26)</f>
        <v>53.6599792128224</v>
      </c>
      <c r="AB18">
        <f>MEDIAN('P1'!AA26,'P2'!AA26,'P3'!AA26,'P4'!AA26,'P5'!AA26)</f>
        <v>85.123101100052395</v>
      </c>
      <c r="AC18">
        <f>MEDIAN('P1'!AB26,'P2'!AB26,'P3'!AB26,'P4'!AB26,'P5'!AB26)</f>
        <v>80.482640656417701</v>
      </c>
      <c r="AD18">
        <f>MEDIAN('P1'!AC26,'P2'!AC26,'P3'!AC26,'P4'!AC26,'P5'!AC26)</f>
        <v>58314.065977892402</v>
      </c>
      <c r="AE18">
        <f>MEDIAN('P1'!AD26,'P2'!AD26,'P3'!AD26,'P4'!AD26,'P5'!AD26)</f>
        <v>51.361924000000002</v>
      </c>
      <c r="AF18">
        <f>MEDIAN('P1'!AE26,'P2'!AE26,'P3'!AE26,'P4'!AE26,'P5'!AE26)</f>
        <v>19294</v>
      </c>
      <c r="AG18">
        <f>MEDIAN('P1'!AF26,'P2'!AF26,'P3'!AF26,'P4'!AF26,'P5'!AF26)</f>
        <v>27190</v>
      </c>
      <c r="AH18">
        <f>MEDIAN('P1'!AG26,'P2'!AG26,'P3'!AG26,'P4'!AG26,'P5'!AG26)</f>
        <v>27190</v>
      </c>
      <c r="AI18" t="e">
        <f>MEDIAN('P1'!AH26,'P2'!AH26,'P3'!AH26,'P4'!AH26,'P5'!AH26)</f>
        <v>#NUM!</v>
      </c>
    </row>
    <row r="19" spans="1:35" x14ac:dyDescent="0.2">
      <c r="A19" s="1">
        <v>0</v>
      </c>
      <c r="B19" s="2">
        <v>2.1800000000000002</v>
      </c>
      <c r="C19" s="2" t="s">
        <v>44</v>
      </c>
      <c r="D19" s="2" t="s">
        <v>62</v>
      </c>
      <c r="E19" s="2" t="s">
        <v>92</v>
      </c>
      <c r="F19">
        <f>MEDIAN('P1'!E27,'P2'!E27,'P3'!E27,'P4'!E27,'P5'!E27)</f>
        <v>85.221811460258806</v>
      </c>
      <c r="G19">
        <f>MEDIAN('P1'!F27,'P2'!F27,'P3'!F27,'P4'!F27,'P5'!F27)</f>
        <v>1599</v>
      </c>
      <c r="H19">
        <f>MEDIAN('P1'!G27,'P2'!G27,'P3'!G27,'P4'!G27,'P5'!G27)</f>
        <v>14.778188539741199</v>
      </c>
      <c r="I19">
        <f>MEDIAN('P1'!H27,'P2'!H27,'P3'!H27,'P4'!H27,'P5'!H27)</f>
        <v>75.977800451411397</v>
      </c>
      <c r="J19">
        <f>MEDIAN('P1'!I27,'P2'!I27,'P3'!I27,'P4'!I27,'P5'!I27)</f>
        <v>85.221811460258806</v>
      </c>
      <c r="K19">
        <f>MEDIAN('P1'!J27,'P2'!J27,'P3'!J27,'P4'!J27,'P5'!J27)</f>
        <v>82.514526165729507</v>
      </c>
      <c r="L19">
        <f>MEDIAN('P1'!K27,'P2'!K27,'P3'!K27,'P4'!K27,'P5'!K27)</f>
        <v>50.735860822286398</v>
      </c>
      <c r="M19">
        <f>MEDIAN('P1'!L27,'P2'!L27,'P3'!L27,'P4'!L27,'P5'!L27)</f>
        <v>85.221811460258806</v>
      </c>
      <c r="N19">
        <f>MEDIAN('P1'!M27,'P2'!M27,'P3'!M27,'P4'!M27,'P5'!M27)</f>
        <v>85.221811460258806</v>
      </c>
      <c r="O19">
        <f>MEDIAN('P1'!N27,'P2'!N27,'P3'!N27,'P4'!N27,'P5'!N27)</f>
        <v>47.575103314697103</v>
      </c>
      <c r="P19">
        <f>MEDIAN('P1'!O27,'P2'!O27,'P3'!O27,'P4'!O27,'P5'!O27)</f>
        <v>85.221811460258806</v>
      </c>
      <c r="Q19">
        <f>MEDIAN('P1'!P27,'P2'!P27,'P3'!P27,'P4'!P27,'P5'!P27)</f>
        <v>78.763280332222095</v>
      </c>
      <c r="R19">
        <f>MEDIAN('P1'!Q27,'P2'!Q27,'P3'!Q27,'P4'!Q27,'P5'!Q27)</f>
        <v>85.489785227867998</v>
      </c>
      <c r="S19">
        <f>MEDIAN('P1'!R27,'P2'!R27,'P3'!R27,'P4'!R27,'P5'!R27)</f>
        <v>277</v>
      </c>
      <c r="T19">
        <f>MEDIAN('P1'!S27,'P2'!S27,'P3'!S27,'P4'!S27,'P5'!S27)</f>
        <v>14.510214772132001</v>
      </c>
      <c r="U19">
        <f>MEDIAN('P1'!T27,'P2'!T27,'P3'!T27,'P4'!T27,'P5'!T27)</f>
        <v>92.718191377497405</v>
      </c>
      <c r="V19">
        <f>MEDIAN('P1'!U27,'P2'!U27,'P3'!U27,'P4'!U27,'P5'!U27)</f>
        <v>85.489785227867998</v>
      </c>
      <c r="W19">
        <f>MEDIAN('P1'!V27,'P2'!V27,'P3'!V27,'P4'!V27,'P5'!V27)</f>
        <v>87.602997368709495</v>
      </c>
      <c r="X19">
        <f>MEDIAN('P1'!W27,'P2'!W27,'P3'!W27,'P4'!W27,'P5'!W27)</f>
        <v>51.232394366197198</v>
      </c>
      <c r="Y19">
        <f>MEDIAN('P1'!X27,'P2'!X27,'P3'!X27,'P4'!X27,'P5'!X27)</f>
        <v>85.489785227867998</v>
      </c>
      <c r="Z19">
        <f>MEDIAN('P1'!Y27,'P2'!Y27,'P3'!Y27,'P4'!Y27,'P5'!Y27)</f>
        <v>85.489785227867998</v>
      </c>
      <c r="AA19">
        <f>MEDIAN('P1'!Z27,'P2'!Z27,'P3'!Z27,'P4'!Z27,'P5'!Z27)</f>
        <v>48.478648267610602</v>
      </c>
      <c r="AB19">
        <f>MEDIAN('P1'!AA27,'P2'!AA27,'P3'!AA27,'P4'!AA27,'P5'!AA27)</f>
        <v>85.489785227867998</v>
      </c>
      <c r="AC19">
        <f>MEDIAN('P1'!AB27,'P2'!AB27,'P3'!AB27,'P4'!AB27,'P5'!AB27)</f>
        <v>79.153515179665703</v>
      </c>
      <c r="AD19">
        <f>MEDIAN('P1'!AC27,'P2'!AC27,'P3'!AC27,'P4'!AC27,'P5'!AC27)</f>
        <v>498250.138146988</v>
      </c>
      <c r="AE19">
        <f>MEDIAN('P1'!AD27,'P2'!AD27,'P3'!AD27,'P4'!AD27,'P5'!AD27)</f>
        <v>0.89746599999999999</v>
      </c>
      <c r="AF19">
        <f>MEDIAN('P1'!AE27,'P2'!AE27,'P3'!AE27,'P4'!AE27,'P5'!AE27)</f>
        <v>7481</v>
      </c>
      <c r="AG19">
        <f>MEDIAN('P1'!AF27,'P2'!AF27,'P3'!AF27,'P4'!AF27,'P5'!AF27)</f>
        <v>6088</v>
      </c>
      <c r="AH19">
        <f>MEDIAN('P1'!AG27,'P2'!AG27,'P3'!AG27,'P4'!AG27,'P5'!AG27)</f>
        <v>5972</v>
      </c>
      <c r="AI19" t="e">
        <f>MEDIAN('P1'!AH27,'P2'!AH27,'P3'!AH27,'P4'!AH27,'P5'!AH27)</f>
        <v>#NUM!</v>
      </c>
    </row>
    <row r="20" spans="1:35" x14ac:dyDescent="0.2">
      <c r="A20" s="1">
        <v>0</v>
      </c>
      <c r="B20" s="2">
        <v>2.19</v>
      </c>
      <c r="C20" s="2" t="s">
        <v>44</v>
      </c>
      <c r="D20" s="2" t="s">
        <v>62</v>
      </c>
      <c r="E20" s="2" t="s">
        <v>93</v>
      </c>
      <c r="F20">
        <f>MEDIAN('P1'!E28,'P2'!E28,'P3'!E28,'P4'!E28,'P5'!E28)</f>
        <v>86.072088724584106</v>
      </c>
      <c r="G20">
        <f>MEDIAN('P1'!F28,'P2'!F28,'P3'!F28,'P4'!F28,'P5'!F28)</f>
        <v>1507</v>
      </c>
      <c r="H20">
        <f>MEDIAN('P1'!G28,'P2'!G28,'P3'!G28,'P4'!G28,'P5'!G28)</f>
        <v>13.9279112754159</v>
      </c>
      <c r="I20">
        <f>MEDIAN('P1'!H28,'P2'!H28,'P3'!H28,'P4'!H28,'P5'!H28)</f>
        <v>73.394451293619795</v>
      </c>
      <c r="J20">
        <f>MEDIAN('P1'!I28,'P2'!I28,'P3'!I28,'P4'!I28,'P5'!I28)</f>
        <v>86.072088724584106</v>
      </c>
      <c r="K20">
        <f>MEDIAN('P1'!J28,'P2'!J28,'P3'!J28,'P4'!J28,'P5'!J28)</f>
        <v>83.3406745869068</v>
      </c>
      <c r="L20">
        <f>MEDIAN('P1'!K28,'P2'!K28,'P3'!K28,'P4'!K28,'P5'!K28)</f>
        <v>59.193079488544903</v>
      </c>
      <c r="M20">
        <f>MEDIAN('P1'!L28,'P2'!L28,'P3'!L28,'P4'!L28,'P5'!L28)</f>
        <v>86.072088724584106</v>
      </c>
      <c r="N20">
        <f>MEDIAN('P1'!M28,'P2'!M28,'P3'!M28,'P4'!M28,'P5'!M28)</f>
        <v>86.072088724584106</v>
      </c>
      <c r="O20">
        <f>MEDIAN('P1'!N28,'P2'!N28,'P3'!N28,'P4'!N28,'P5'!N28)</f>
        <v>61.579383487952498</v>
      </c>
      <c r="P20">
        <f>MEDIAN('P1'!O28,'P2'!O28,'P3'!O28,'P4'!O28,'P5'!O28)</f>
        <v>86.072088724584106</v>
      </c>
      <c r="Q20">
        <f>MEDIAN('P1'!P28,'P2'!P28,'P3'!P28,'P4'!P28,'P5'!P28)</f>
        <v>83.115046062029805</v>
      </c>
      <c r="R20">
        <f>MEDIAN('P1'!Q28,'P2'!Q28,'P3'!Q28,'P4'!Q28,'P5'!Q28)</f>
        <v>86.537454164484004</v>
      </c>
      <c r="S20">
        <f>MEDIAN('P1'!R28,'P2'!R28,'P3'!R28,'P4'!R28,'P5'!R28)</f>
        <v>257</v>
      </c>
      <c r="T20">
        <f>MEDIAN('P1'!S28,'P2'!S28,'P3'!S28,'P4'!S28,'P5'!S28)</f>
        <v>13.462545835516</v>
      </c>
      <c r="U20">
        <f>MEDIAN('P1'!T28,'P2'!T28,'P3'!T28,'P4'!T28,'P5'!T28)</f>
        <v>75.713209442491205</v>
      </c>
      <c r="V20">
        <f>MEDIAN('P1'!U28,'P2'!U28,'P3'!U28,'P4'!U28,'P5'!U28)</f>
        <v>86.537454164484004</v>
      </c>
      <c r="W20">
        <f>MEDIAN('P1'!V28,'P2'!V28,'P3'!V28,'P4'!V28,'P5'!V28)</f>
        <v>84.1967349668585</v>
      </c>
      <c r="X20">
        <f>MEDIAN('P1'!W28,'P2'!W28,'P3'!W28,'P4'!W28,'P5'!W28)</f>
        <v>59.983856988082302</v>
      </c>
      <c r="Y20">
        <f>MEDIAN('P1'!X28,'P2'!X28,'P3'!X28,'P4'!X28,'P5'!X28)</f>
        <v>86.537454164484004</v>
      </c>
      <c r="Z20">
        <f>MEDIAN('P1'!Y28,'P2'!Y28,'P3'!Y28,'P4'!Y28,'P5'!Y28)</f>
        <v>86.537454164484004</v>
      </c>
      <c r="AA20">
        <f>MEDIAN('P1'!Z28,'P2'!Z28,'P3'!Z28,'P4'!Z28,'P5'!Z28)</f>
        <v>62.708183687352999</v>
      </c>
      <c r="AB20">
        <f>MEDIAN('P1'!AA28,'P2'!AA28,'P3'!AA28,'P4'!AA28,'P5'!AA28)</f>
        <v>86.537454164484004</v>
      </c>
      <c r="AC20">
        <f>MEDIAN('P1'!AB28,'P2'!AB28,'P3'!AB28,'P4'!AB28,'P5'!AB28)</f>
        <v>83.648584545696806</v>
      </c>
      <c r="AD20">
        <f>MEDIAN('P1'!AC28,'P2'!AC28,'P3'!AC28,'P4'!AC28,'P5'!AC28)</f>
        <v>190111.39614154701</v>
      </c>
      <c r="AE20">
        <f>MEDIAN('P1'!AD28,'P2'!AD28,'P3'!AD28,'P4'!AD28,'P5'!AD28)</f>
        <v>2.4687480000000002</v>
      </c>
      <c r="AF20">
        <f>MEDIAN('P1'!AE28,'P2'!AE28,'P3'!AE28,'P4'!AE28,'P5'!AE28)</f>
        <v>3808698</v>
      </c>
      <c r="AG20">
        <f>MEDIAN('P1'!AF28,'P2'!AF28,'P3'!AF28,'P4'!AF28,'P5'!AF28)</f>
        <v>12647</v>
      </c>
      <c r="AH20">
        <f>MEDIAN('P1'!AG28,'P2'!AG28,'P3'!AG28,'P4'!AG28,'P5'!AG28)</f>
        <v>12647</v>
      </c>
      <c r="AI20" t="e">
        <f>MEDIAN('P1'!AH28,'P2'!AH28,'P3'!AH28,'P4'!AH28,'P5'!AH28)</f>
        <v>#NUM!</v>
      </c>
    </row>
    <row r="21" spans="1:35" x14ac:dyDescent="0.2">
      <c r="A21" s="1">
        <v>0</v>
      </c>
      <c r="B21" s="2">
        <v>2.2000000000000002</v>
      </c>
      <c r="C21" s="2" t="s">
        <v>44</v>
      </c>
      <c r="D21" s="2" t="s">
        <v>45</v>
      </c>
      <c r="E21" s="2" t="s">
        <v>94</v>
      </c>
      <c r="F21">
        <f>MEDIAN('P1'!E11,'P2'!E11,'P3'!E11,'P4'!E11,'P5'!E11)</f>
        <v>85.415896487985194</v>
      </c>
      <c r="G21">
        <f>MEDIAN('P1'!F11,'P2'!F11,'P3'!F11,'P4'!F11,'P5'!F11)</f>
        <v>1578</v>
      </c>
      <c r="H21">
        <f>MEDIAN('P1'!G11,'P2'!G11,'P3'!G11,'P4'!G11,'P5'!G11)</f>
        <v>14.584103512014799</v>
      </c>
      <c r="I21">
        <f>MEDIAN('P1'!H11,'P2'!H11,'P3'!H11,'P4'!H11,'P5'!H11)</f>
        <v>79.553043460281998</v>
      </c>
      <c r="J21">
        <f>MEDIAN('P1'!I11,'P2'!I11,'P3'!I11,'P4'!I11,'P5'!I11)</f>
        <v>85.415896487985194</v>
      </c>
      <c r="K21">
        <f>MEDIAN('P1'!J11,'P2'!J11,'P3'!J11,'P4'!J11,'P5'!J11)</f>
        <v>83.724477667703695</v>
      </c>
      <c r="L21">
        <f>MEDIAN('P1'!K11,'P2'!K11,'P3'!K11,'P4'!K11,'P5'!K11)</f>
        <v>51.540749440016597</v>
      </c>
      <c r="M21">
        <f>MEDIAN('P1'!L11,'P2'!L11,'P3'!L11,'P4'!L11,'P5'!L11)</f>
        <v>85.415896487985194</v>
      </c>
      <c r="N21">
        <f>MEDIAN('P1'!M11,'P2'!M11,'P3'!M11,'P4'!M11,'P5'!M11)</f>
        <v>85.415896487985194</v>
      </c>
      <c r="O21">
        <f>MEDIAN('P1'!N11,'P2'!N11,'P3'!N11,'P4'!N11,'P5'!N11)</f>
        <v>49.193570272652103</v>
      </c>
      <c r="P21">
        <f>MEDIAN('P1'!O11,'P2'!O11,'P3'!O11,'P4'!O11,'P5'!O11)</f>
        <v>85.415896487985194</v>
      </c>
      <c r="Q21">
        <f>MEDIAN('P1'!P11,'P2'!P11,'P3'!P11,'P4'!P11,'P5'!P11)</f>
        <v>79.310119083036298</v>
      </c>
      <c r="R21">
        <f>MEDIAN('P1'!Q11,'P2'!Q11,'P3'!Q11,'P4'!Q11,'P5'!Q11)</f>
        <v>55.156006890951403</v>
      </c>
      <c r="S21">
        <f>MEDIAN('P1'!R11,'P2'!R11,'P3'!R11,'P4'!R11,'P5'!R11)</f>
        <v>85.281885397412196</v>
      </c>
      <c r="T21">
        <f>MEDIAN('P1'!S11,'P2'!S11,'P3'!S11,'P4'!S11,'P5'!S11)</f>
        <v>80.941377493570059</v>
      </c>
      <c r="U21">
        <f>MEDIAN('P1'!T11,'P2'!T11,'P3'!T11,'P4'!T11,'P5'!T11)</f>
        <v>14.4316396018858</v>
      </c>
      <c r="V21">
        <f>MEDIAN('P1'!U11,'P2'!U11,'P3'!U11,'P4'!U11,'P5'!U11)</f>
        <v>76.163479203440346</v>
      </c>
      <c r="W21">
        <f>MEDIAN('P1'!V11,'P2'!V11,'P3'!V11,'P4'!V11,'P5'!V11)</f>
        <v>85.568360398114208</v>
      </c>
      <c r="X21">
        <f>MEDIAN('P1'!W11,'P2'!W11,'P3'!W11,'P4'!W11,'P5'!W11)</f>
        <v>83.429360128445012</v>
      </c>
      <c r="Y21">
        <f>MEDIAN('P1'!X11,'P2'!X11,'P3'!X11,'P4'!X11,'P5'!X11)</f>
        <v>55.201300108342352</v>
      </c>
      <c r="Z21">
        <f>MEDIAN('P1'!Y11,'P2'!Y11,'P3'!Y11,'P4'!Y11,'P5'!Y11)</f>
        <v>85.568360398114208</v>
      </c>
      <c r="AA21">
        <f>MEDIAN('P1'!Z11,'P2'!Z11,'P3'!Z11,'P4'!Z11,'P5'!Z11)</f>
        <v>85.568360398114208</v>
      </c>
      <c r="AB21">
        <f>MEDIAN('P1'!AA11,'P2'!AA11,'P3'!AA11,'P4'!AA11,'P5'!AA11)</f>
        <v>55.154378607365445</v>
      </c>
      <c r="AC21">
        <f>MEDIAN('P1'!AB11,'P2'!AB11,'P3'!AB11,'P4'!AB11,'P5'!AB11)</f>
        <v>85.568360398114208</v>
      </c>
      <c r="AD21">
        <f>MEDIAN('P1'!AC11,'P2'!AC11,'P3'!AC11,'P4'!AC11,'P5'!AC11)</f>
        <v>15317.621210233599</v>
      </c>
      <c r="AE21">
        <f>MEDIAN('P1'!AD11,'P2'!AD11,'P3'!AD11,'P4'!AD11,'P5'!AD11)</f>
        <v>106.409465</v>
      </c>
      <c r="AF21">
        <f>MEDIAN('P1'!AE11,'P2'!AE11,'P3'!AE11,'P4'!AE11,'P5'!AE11)</f>
        <v>649033</v>
      </c>
      <c r="AG21">
        <f>MEDIAN('P1'!AF11,'P2'!AF11,'P3'!AF11,'P4'!AF11,'P5'!AF11)</f>
        <v>647888</v>
      </c>
      <c r="AH21">
        <f>MEDIAN('P1'!AG11,'P2'!AG11,'P3'!AG11,'P4'!AG11,'P5'!AG11)</f>
        <v>329647</v>
      </c>
      <c r="AI21" t="e">
        <f>MEDIAN('P1'!AH11,'P2'!AH11,'P3'!AH11,'P4'!AH11,'P5'!AH11)</f>
        <v>#NUM!</v>
      </c>
    </row>
    <row r="22" spans="1:35" x14ac:dyDescent="0.2">
      <c r="A22" s="1">
        <v>0</v>
      </c>
      <c r="B22" s="2">
        <v>2.2000000000000002</v>
      </c>
      <c r="C22" s="2" t="s">
        <v>44</v>
      </c>
      <c r="D22" s="2" t="s">
        <v>62</v>
      </c>
      <c r="E22" s="2" t="s">
        <v>95</v>
      </c>
      <c r="F22">
        <f>MEDIAN('P1'!E29,'P2'!E29,'P3'!E29,'P4'!E29,'P5'!E29)</f>
        <v>85.101663585951897</v>
      </c>
      <c r="G22">
        <f>MEDIAN('P1'!F29,'P2'!F29,'P3'!F29,'P4'!F29,'P5'!F29)</f>
        <v>1612</v>
      </c>
      <c r="H22">
        <f>MEDIAN('P1'!G29,'P2'!G29,'P3'!G29,'P4'!G29,'P5'!G29)</f>
        <v>14.898336414048099</v>
      </c>
      <c r="I22">
        <f>MEDIAN('P1'!H29,'P2'!H29,'P3'!H29,'P4'!H29,'P5'!H29)</f>
        <v>284</v>
      </c>
      <c r="J22">
        <f>MEDIAN('P1'!I29,'P2'!I29,'P3'!I29,'P4'!I29,'P5'!I29)</f>
        <v>85.101663585951897</v>
      </c>
      <c r="K22">
        <f>MEDIAN('P1'!J29,'P2'!J29,'P3'!J29,'P4'!J29,'P5'!J29)</f>
        <v>14.898336414048099</v>
      </c>
      <c r="L22">
        <f>MEDIAN('P1'!K29,'P2'!K29,'P3'!K29,'P4'!K29,'P5'!K29)</f>
        <v>50</v>
      </c>
      <c r="M22">
        <f>MEDIAN('P1'!L29,'P2'!L29,'P3'!L29,'P4'!L29,'P5'!L29)</f>
        <v>85.101663585951897</v>
      </c>
      <c r="N22">
        <f>MEDIAN('P1'!M29,'P2'!M29,'P3'!M29,'P4'!M29,'P5'!M29)</f>
        <v>85.101663585951897</v>
      </c>
      <c r="O22">
        <f>MEDIAN('P1'!N29,'P2'!N29,'P3'!N29,'P4'!N29,'P5'!N29)</f>
        <v>45.975634112242901</v>
      </c>
      <c r="P22">
        <f>MEDIAN('P1'!O29,'P2'!O29,'P3'!O29,'P4'!O29,'P5'!O29)</f>
        <v>85.101663585951897</v>
      </c>
      <c r="Q22">
        <f>MEDIAN('P1'!P29,'P2'!P29,'P3'!P29,'P4'!P29,'P5'!P29)</f>
        <v>78.252058947418206</v>
      </c>
      <c r="R22">
        <f>MEDIAN('P1'!Q29,'P2'!Q29,'P3'!Q29,'P4'!Q29,'P5'!Q29)</f>
        <v>85.123101100052395</v>
      </c>
      <c r="S22">
        <f>MEDIAN('P1'!R29,'P2'!R29,'P3'!R29,'P4'!R29,'P5'!R29)</f>
        <v>284</v>
      </c>
      <c r="T22">
        <f>MEDIAN('P1'!S29,'P2'!S29,'P3'!S29,'P4'!S29,'P5'!S29)</f>
        <v>14.8768988999476</v>
      </c>
      <c r="U22">
        <f>MEDIAN('P1'!T29,'P2'!T29,'P3'!T29,'P4'!T29,'P5'!T29)</f>
        <v>14.8768988999476</v>
      </c>
      <c r="V22">
        <f>MEDIAN('P1'!U29,'P2'!U29,'P3'!U29,'P4'!U29,'P5'!U29)</f>
        <v>85.123101100052395</v>
      </c>
      <c r="W22">
        <f>MEDIAN('P1'!V29,'P2'!V29,'P3'!V29,'P4'!V29,'P5'!V29)</f>
        <v>85.123101100052395</v>
      </c>
      <c r="X22">
        <f>MEDIAN('P1'!W29,'P2'!W29,'P3'!W29,'P4'!W29,'P5'!W29)</f>
        <v>50</v>
      </c>
      <c r="Y22">
        <f>MEDIAN('P1'!X29,'P2'!X29,'P3'!X29,'P4'!X29,'P5'!X29)</f>
        <v>85.123101100052395</v>
      </c>
      <c r="Z22">
        <f>MEDIAN('P1'!Y29,'P2'!Y29,'P3'!Y29,'P4'!Y29,'P5'!Y29)</f>
        <v>85.123101100052395</v>
      </c>
      <c r="AA22">
        <f>MEDIAN('P1'!Z29,'P2'!Z29,'P3'!Z29,'P4'!Z29,'P5'!Z29)</f>
        <v>45.9818902093945</v>
      </c>
      <c r="AB22">
        <f>MEDIAN('P1'!AA29,'P2'!AA29,'P3'!AA29,'P4'!AA29,'P5'!AA29)</f>
        <v>85.123101100052395</v>
      </c>
      <c r="AC22">
        <f>MEDIAN('P1'!AB29,'P2'!AB29,'P3'!AB29,'P4'!AB29,'P5'!AB29)</f>
        <v>78.282421781315904</v>
      </c>
      <c r="AD22">
        <f>MEDIAN('P1'!AC29,'P2'!AC29,'P3'!AC29,'P4'!AC29,'P5'!AC29)</f>
        <v>486139.19216426299</v>
      </c>
      <c r="AE22">
        <f>MEDIAN('P1'!AD29,'P2'!AD29,'P3'!AD29,'P4'!AD29,'P5'!AD29)</f>
        <v>1.1099410000000001</v>
      </c>
      <c r="AF22">
        <f>MEDIAN('P1'!AE29,'P2'!AE29,'P3'!AE29,'P4'!AE29,'P5'!AE29)</f>
        <v>13358</v>
      </c>
      <c r="AG22">
        <f>MEDIAN('P1'!AF29,'P2'!AF29,'P3'!AF29,'P4'!AF29,'P5'!AF29)</f>
        <v>5998</v>
      </c>
      <c r="AH22">
        <f>MEDIAN('P1'!AG29,'P2'!AG29,'P3'!AG29,'P4'!AG29,'P5'!AG29)</f>
        <v>5998</v>
      </c>
      <c r="AI22" t="e">
        <f>MEDIAN('P1'!AH29,'P2'!AH29,'P3'!AH29,'P4'!AH29,'P5'!AH29)</f>
        <v>#NUM!</v>
      </c>
    </row>
    <row r="23" spans="1:35" x14ac:dyDescent="0.2">
      <c r="A23" s="1">
        <v>0</v>
      </c>
      <c r="B23" s="2">
        <v>2.21</v>
      </c>
      <c r="C23" s="2" t="s">
        <v>44</v>
      </c>
      <c r="D23" s="2" t="s">
        <v>62</v>
      </c>
      <c r="E23" s="2" t="s">
        <v>96</v>
      </c>
      <c r="F23">
        <f>MEDIAN('P1'!E30,'P2'!E30,'P3'!E30,'P4'!E30,'P5'!E30)</f>
        <v>85.101663585951897</v>
      </c>
      <c r="G23">
        <f>MEDIAN('P1'!F30,'P2'!F30,'P3'!F30,'P4'!F30,'P5'!F30)</f>
        <v>1612</v>
      </c>
      <c r="H23">
        <f>MEDIAN('P1'!G30,'P2'!G30,'P3'!G30,'P4'!G30,'P5'!G30)</f>
        <v>14.898336414048099</v>
      </c>
      <c r="I23">
        <f>MEDIAN('P1'!H30,'P2'!H30,'P3'!H30,'P4'!H30,'P5'!H30)</f>
        <v>284</v>
      </c>
      <c r="J23">
        <f>MEDIAN('P1'!I30,'P2'!I30,'P3'!I30,'P4'!I30,'P5'!I30)</f>
        <v>85.101663585951897</v>
      </c>
      <c r="K23">
        <f>MEDIAN('P1'!J30,'P2'!J30,'P3'!J30,'P4'!J30,'P5'!J30)</f>
        <v>14.898336414048099</v>
      </c>
      <c r="L23">
        <f>MEDIAN('P1'!K30,'P2'!K30,'P3'!K30,'P4'!K30,'P5'!K30)</f>
        <v>50</v>
      </c>
      <c r="M23">
        <f>MEDIAN('P1'!L30,'P2'!L30,'P3'!L30,'P4'!L30,'P5'!L30)</f>
        <v>85.101663585951897</v>
      </c>
      <c r="N23">
        <f>MEDIAN('P1'!M30,'P2'!M30,'P3'!M30,'P4'!M30,'P5'!M30)</f>
        <v>85.101663585951897</v>
      </c>
      <c r="O23">
        <f>MEDIAN('P1'!N30,'P2'!N30,'P3'!N30,'P4'!N30,'P5'!N30)</f>
        <v>45.975634112242901</v>
      </c>
      <c r="P23">
        <f>MEDIAN('P1'!O30,'P2'!O30,'P3'!O30,'P4'!O30,'P5'!O30)</f>
        <v>85.101663585951897</v>
      </c>
      <c r="Q23">
        <f>MEDIAN('P1'!P30,'P2'!P30,'P3'!P30,'P4'!P30,'P5'!P30)</f>
        <v>78.252058947418206</v>
      </c>
      <c r="R23">
        <f>MEDIAN('P1'!Q30,'P2'!Q30,'P3'!Q30,'P4'!Q30,'P5'!Q30)</f>
        <v>85.123101100052395</v>
      </c>
      <c r="S23">
        <f>MEDIAN('P1'!R30,'P2'!R30,'P3'!R30,'P4'!R30,'P5'!R30)</f>
        <v>284</v>
      </c>
      <c r="T23">
        <f>MEDIAN('P1'!S30,'P2'!S30,'P3'!S30,'P4'!S30,'P5'!S30)</f>
        <v>14.8768988999476</v>
      </c>
      <c r="U23">
        <f>MEDIAN('P1'!T30,'P2'!T30,'P3'!T30,'P4'!T30,'P5'!T30)</f>
        <v>14.8768988999476</v>
      </c>
      <c r="V23">
        <f>MEDIAN('P1'!U30,'P2'!U30,'P3'!U30,'P4'!U30,'P5'!U30)</f>
        <v>85.123101100052395</v>
      </c>
      <c r="W23">
        <f>MEDIAN('P1'!V30,'P2'!V30,'P3'!V30,'P4'!V30,'P5'!V30)</f>
        <v>85.123101100052395</v>
      </c>
      <c r="X23">
        <f>MEDIAN('P1'!W30,'P2'!W30,'P3'!W30,'P4'!W30,'P5'!W30)</f>
        <v>50</v>
      </c>
      <c r="Y23">
        <f>MEDIAN('P1'!X30,'P2'!X30,'P3'!X30,'P4'!X30,'P5'!X30)</f>
        <v>85.123101100052395</v>
      </c>
      <c r="Z23">
        <f>MEDIAN('P1'!Y30,'P2'!Y30,'P3'!Y30,'P4'!Y30,'P5'!Y30)</f>
        <v>85.123101100052395</v>
      </c>
      <c r="AA23">
        <f>MEDIAN('P1'!Z30,'P2'!Z30,'P3'!Z30,'P4'!Z30,'P5'!Z30)</f>
        <v>45.9818902093945</v>
      </c>
      <c r="AB23">
        <f>MEDIAN('P1'!AA30,'P2'!AA30,'P3'!AA30,'P4'!AA30,'P5'!AA30)</f>
        <v>85.123101100052395</v>
      </c>
      <c r="AC23">
        <f>MEDIAN('P1'!AB30,'P2'!AB30,'P3'!AB30,'P4'!AB30,'P5'!AB30)</f>
        <v>78.282421781315904</v>
      </c>
      <c r="AD23">
        <f>MEDIAN('P1'!AC30,'P2'!AC30,'P3'!AC30,'P4'!AC30,'P5'!AC30)</f>
        <v>419347.33741570398</v>
      </c>
      <c r="AE23">
        <f>MEDIAN('P1'!AD30,'P2'!AD30,'P3'!AD30,'P4'!AD30,'P5'!AD30)</f>
        <v>0.81626200000000004</v>
      </c>
      <c r="AF23">
        <f>MEDIAN('P1'!AE30,'P2'!AE30,'P3'!AE30,'P4'!AE30,'P5'!AE30)</f>
        <v>13316</v>
      </c>
      <c r="AG23">
        <f>MEDIAN('P1'!AF30,'P2'!AF30,'P3'!AF30,'P4'!AF30,'P5'!AF30)</f>
        <v>5998</v>
      </c>
      <c r="AH23">
        <f>MEDIAN('P1'!AG30,'P2'!AG30,'P3'!AG30,'P4'!AG30,'P5'!AG30)</f>
        <v>5998</v>
      </c>
      <c r="AI23" t="e">
        <f>MEDIAN('P1'!AH30,'P2'!AH30,'P3'!AH30,'P4'!AH30,'P5'!AH30)</f>
        <v>#NUM!</v>
      </c>
    </row>
    <row r="24" spans="1:35" x14ac:dyDescent="0.2">
      <c r="A24" s="1">
        <v>0</v>
      </c>
      <c r="B24" s="2">
        <v>2.2200000000000002</v>
      </c>
      <c r="C24" s="2" t="s">
        <v>44</v>
      </c>
      <c r="D24" s="2" t="s">
        <v>62</v>
      </c>
      <c r="E24" s="2" t="s">
        <v>97</v>
      </c>
      <c r="F24">
        <f>MEDIAN('P1'!E31,'P2'!E31,'P3'!E31,'P4'!E31,'P5'!E31)</f>
        <v>83.622920517560104</v>
      </c>
      <c r="G24">
        <f>MEDIAN('P1'!F31,'P2'!F31,'P3'!F31,'P4'!F31,'P5'!F31)</f>
        <v>1772</v>
      </c>
      <c r="H24">
        <f>MEDIAN('P1'!G31,'P2'!G31,'P3'!G31,'P4'!G31,'P5'!G31)</f>
        <v>16.3770794824399</v>
      </c>
      <c r="I24">
        <f>MEDIAN('P1'!H31,'P2'!H31,'P3'!H31,'P4'!H31,'P5'!H31)</f>
        <v>64.674766474636002</v>
      </c>
      <c r="J24">
        <f>MEDIAN('P1'!I31,'P2'!I31,'P3'!I31,'P4'!I31,'P5'!I31)</f>
        <v>83.622920517560104</v>
      </c>
      <c r="K24">
        <f>MEDIAN('P1'!J31,'P2'!J31,'P3'!J31,'P4'!J31,'P5'!J31)</f>
        <v>80.839431581335404</v>
      </c>
      <c r="L24">
        <f>MEDIAN('P1'!K31,'P2'!K31,'P3'!K31,'P4'!K31,'P5'!K31)</f>
        <v>59.340526524567103</v>
      </c>
      <c r="M24">
        <f>MEDIAN('P1'!L31,'P2'!L31,'P3'!L31,'P4'!L31,'P5'!L31)</f>
        <v>83.622920517560104</v>
      </c>
      <c r="N24">
        <f>MEDIAN('P1'!M31,'P2'!M31,'P3'!M31,'P4'!M31,'P5'!M31)</f>
        <v>83.622920517560104</v>
      </c>
      <c r="O24">
        <f>MEDIAN('P1'!N31,'P2'!N31,'P3'!N31,'P4'!N31,'P5'!N31)</f>
        <v>60.879250926853601</v>
      </c>
      <c r="P24">
        <f>MEDIAN('P1'!O31,'P2'!O31,'P3'!O31,'P4'!O31,'P5'!O31)</f>
        <v>83.622920517560104</v>
      </c>
      <c r="Q24">
        <f>MEDIAN('P1'!P31,'P2'!P31,'P3'!P31,'P4'!P31,'P5'!P31)</f>
        <v>81.819967800914995</v>
      </c>
      <c r="R24">
        <f>MEDIAN('P1'!Q31,'P2'!Q31,'P3'!Q31,'P4'!Q31,'P5'!Q31)</f>
        <v>83.918281822943996</v>
      </c>
      <c r="S24">
        <f>MEDIAN('P1'!R31,'P2'!R31,'P3'!R31,'P4'!R31,'P5'!R31)</f>
        <v>307</v>
      </c>
      <c r="T24">
        <f>MEDIAN('P1'!S31,'P2'!S31,'P3'!S31,'P4'!S31,'P5'!S31)</f>
        <v>16.081718177056</v>
      </c>
      <c r="U24">
        <f>MEDIAN('P1'!T31,'P2'!T31,'P3'!T31,'P4'!T31,'P5'!T31)</f>
        <v>66.481672913333995</v>
      </c>
      <c r="V24">
        <f>MEDIAN('P1'!U31,'P2'!U31,'P3'!U31,'P4'!U31,'P5'!U31)</f>
        <v>83.918281822943996</v>
      </c>
      <c r="W24">
        <f>MEDIAN('P1'!V31,'P2'!V31,'P3'!V31,'P4'!V31,'P5'!V31)</f>
        <v>82.038886850650698</v>
      </c>
      <c r="X24">
        <f>MEDIAN('P1'!W31,'P2'!W31,'P3'!W31,'P4'!W31,'P5'!W31)</f>
        <v>62.368147345612101</v>
      </c>
      <c r="Y24">
        <f>MEDIAN('P1'!X31,'P2'!X31,'P3'!X31,'P4'!X31,'P5'!X31)</f>
        <v>83.918281822943996</v>
      </c>
      <c r="Z24">
        <f>MEDIAN('P1'!Y31,'P2'!Y31,'P3'!Y31,'P4'!Y31,'P5'!Y31)</f>
        <v>83.918281822943896</v>
      </c>
      <c r="AA24">
        <f>MEDIAN('P1'!Z31,'P2'!Z31,'P3'!Z31,'P4'!Z31,'P5'!Z31)</f>
        <v>63.872267055111102</v>
      </c>
      <c r="AB24">
        <f>MEDIAN('P1'!AA31,'P2'!AA31,'P3'!AA31,'P4'!AA31,'P5'!AA31)</f>
        <v>83.918281822943996</v>
      </c>
      <c r="AC24">
        <f>MEDIAN('P1'!AB31,'P2'!AB31,'P3'!AB31,'P4'!AB31,'P5'!AB31)</f>
        <v>82.776420222244596</v>
      </c>
      <c r="AD24">
        <f>MEDIAN('P1'!AC31,'P2'!AC31,'P3'!AC31,'P4'!AC31,'P5'!AC31)</f>
        <v>272304.01409336901</v>
      </c>
      <c r="AE24">
        <f>MEDIAN('P1'!AD31,'P2'!AD31,'P3'!AD31,'P4'!AD31,'P5'!AD31)</f>
        <v>1.9412450000000001</v>
      </c>
      <c r="AF24">
        <f>MEDIAN('P1'!AE31,'P2'!AE31,'P3'!AE31,'P4'!AE31,'P5'!AE31)</f>
        <v>13978</v>
      </c>
      <c r="AG24">
        <f>MEDIAN('P1'!AF31,'P2'!AF31,'P3'!AF31,'P4'!AF31,'P5'!AF31)</f>
        <v>12885</v>
      </c>
      <c r="AH24">
        <f>MEDIAN('P1'!AG31,'P2'!AG31,'P3'!AG31,'P4'!AG31,'P5'!AG31)</f>
        <v>12885</v>
      </c>
      <c r="AI24" t="e">
        <f>MEDIAN('P1'!AH31,'P2'!AH31,'P3'!AH31,'P4'!AH31,'P5'!AH31)</f>
        <v>#NUM!</v>
      </c>
    </row>
    <row r="25" spans="1:35" x14ac:dyDescent="0.2">
      <c r="A25" s="1">
        <v>0</v>
      </c>
      <c r="B25" s="2">
        <v>2.23</v>
      </c>
      <c r="C25" s="2" t="s">
        <v>44</v>
      </c>
      <c r="D25" s="2" t="s">
        <v>69</v>
      </c>
      <c r="E25" s="2" t="s">
        <v>98</v>
      </c>
      <c r="F25">
        <f>MEDIAN('P1'!E32,'P2'!E32,'P3'!E32,'P4'!E32,'P5'!E32)</f>
        <v>84.057301293900196</v>
      </c>
      <c r="G25">
        <f>MEDIAN('P1'!F32,'P2'!F32,'P3'!F32,'P4'!F32,'P5'!F32)</f>
        <v>1725</v>
      </c>
      <c r="H25">
        <f>MEDIAN('P1'!G32,'P2'!G32,'P3'!G32,'P4'!G32,'P5'!G32)</f>
        <v>15.942698706099801</v>
      </c>
      <c r="I25">
        <f>MEDIAN('P1'!H32,'P2'!H32,'P3'!H32,'P4'!H32,'P5'!H32)</f>
        <v>64.912361098923199</v>
      </c>
      <c r="J25">
        <f>MEDIAN('P1'!I32,'P2'!I32,'P3'!I32,'P4'!I32,'P5'!I32)</f>
        <v>84.057301293900196</v>
      </c>
      <c r="K25">
        <f>MEDIAN('P1'!J32,'P2'!J32,'P3'!J32,'P4'!J32,'P5'!J32)</f>
        <v>80.566286364912997</v>
      </c>
      <c r="L25">
        <f>MEDIAN('P1'!K32,'P2'!K32,'P3'!K32,'P4'!K32,'P5'!K32)</f>
        <v>57.727865832494402</v>
      </c>
      <c r="M25">
        <f>MEDIAN('P1'!L32,'P2'!L32,'P3'!L32,'P4'!L32,'P5'!L32)</f>
        <v>84.057301293900196</v>
      </c>
      <c r="N25">
        <f>MEDIAN('P1'!M32,'P2'!M32,'P3'!M32,'P4'!M32,'P5'!M32)</f>
        <v>84.057301293900196</v>
      </c>
      <c r="O25">
        <f>MEDIAN('P1'!N32,'P2'!N32,'P3'!N32,'P4'!N32,'P5'!N32)</f>
        <v>59.237270795232597</v>
      </c>
      <c r="P25">
        <f>MEDIAN('P1'!O32,'P2'!O32,'P3'!O32,'P4'!O32,'P5'!O32)</f>
        <v>84.057301293900196</v>
      </c>
      <c r="Q25">
        <f>MEDIAN('P1'!P32,'P2'!P32,'P3'!P32,'P4'!P32,'P5'!P32)</f>
        <v>81.567361008175695</v>
      </c>
      <c r="R25">
        <f>MEDIAN('P1'!Q32,'P2'!Q32,'P3'!Q32,'P4'!Q32,'P5'!Q32)</f>
        <v>84.337349397590401</v>
      </c>
      <c r="S25">
        <f>MEDIAN('P1'!R32,'P2'!R32,'P3'!R32,'P4'!R32,'P5'!R32)</f>
        <v>299</v>
      </c>
      <c r="T25">
        <f>MEDIAN('P1'!S32,'P2'!S32,'P3'!S32,'P4'!S32,'P5'!S32)</f>
        <v>15.662650602409601</v>
      </c>
      <c r="U25">
        <f>MEDIAN('P1'!T32,'P2'!T32,'P3'!T32,'P4'!T32,'P5'!T32)</f>
        <v>66.584366576819406</v>
      </c>
      <c r="V25">
        <f>MEDIAN('P1'!U32,'P2'!U32,'P3'!U32,'P4'!U32,'P5'!U32)</f>
        <v>84.337349397590401</v>
      </c>
      <c r="W25">
        <f>MEDIAN('P1'!V32,'P2'!V32,'P3'!V32,'P4'!V32,'P5'!V32)</f>
        <v>81.547754359757107</v>
      </c>
      <c r="X25">
        <f>MEDIAN('P1'!W32,'P2'!W32,'P3'!W32,'P4'!W32,'P5'!W32)</f>
        <v>59.999133261105101</v>
      </c>
      <c r="Y25">
        <f>MEDIAN('P1'!X32,'P2'!X32,'P3'!X32,'P4'!X32,'P5'!X32)</f>
        <v>84.337349397590401</v>
      </c>
      <c r="Z25">
        <f>MEDIAN('P1'!Y32,'P2'!Y32,'P3'!Y32,'P4'!Y32,'P5'!Y32)</f>
        <v>84.337349397590401</v>
      </c>
      <c r="AA25">
        <f>MEDIAN('P1'!Z32,'P2'!Z32,'P3'!Z32,'P4'!Z32,'P5'!Z32)</f>
        <v>61.823192040799299</v>
      </c>
      <c r="AB25">
        <f>MEDIAN('P1'!AA32,'P2'!AA32,'P3'!AA32,'P4'!AA32,'P5'!AA32)</f>
        <v>84.337349397590401</v>
      </c>
      <c r="AC25">
        <f>MEDIAN('P1'!AB32,'P2'!AB32,'P3'!AB32,'P4'!AB32,'P5'!AB32)</f>
        <v>82.417656580674304</v>
      </c>
      <c r="AD25">
        <f>MEDIAN('P1'!AC32,'P2'!AC32,'P3'!AC32,'P4'!AC32,'P5'!AC32)</f>
        <v>755.68379675653796</v>
      </c>
      <c r="AE25">
        <f>MEDIAN('P1'!AD32,'P2'!AD32,'P3'!AD32,'P4'!AD32,'P5'!AD32)</f>
        <v>78.467673000000005</v>
      </c>
      <c r="AF25">
        <f>MEDIAN('P1'!AE32,'P2'!AE32,'P3'!AE32,'P4'!AE32,'P5'!AE32)</f>
        <v>5608634</v>
      </c>
      <c r="AG25">
        <f>MEDIAN('P1'!AF32,'P2'!AF32,'P3'!AF32,'P4'!AF32,'P5'!AF32)</f>
        <v>2783317</v>
      </c>
      <c r="AH25">
        <f>MEDIAN('P1'!AG32,'P2'!AG32,'P3'!AG32,'P4'!AG32,'P5'!AG32)</f>
        <v>2783317</v>
      </c>
      <c r="AI25" t="e">
        <f>MEDIAN('P1'!AH32,'P2'!AH32,'P3'!AH32,'P4'!AH32,'P5'!AH32)</f>
        <v>#NUM!</v>
      </c>
    </row>
    <row r="26" spans="1:35" x14ac:dyDescent="0.2">
      <c r="A26" s="1">
        <v>0</v>
      </c>
      <c r="B26" s="2">
        <v>2.2400000000000002</v>
      </c>
      <c r="C26" s="2" t="s">
        <v>44</v>
      </c>
      <c r="D26" s="2" t="s">
        <v>69</v>
      </c>
      <c r="E26" s="2" t="s">
        <v>99</v>
      </c>
      <c r="F26">
        <f>MEDIAN('P1'!E33,'P2'!E33,'P3'!E33,'P4'!E33,'P5'!E33)</f>
        <v>85.101663585951897</v>
      </c>
      <c r="G26">
        <f>MEDIAN('P1'!F33,'P2'!F33,'P3'!F33,'P4'!F33,'P5'!F33)</f>
        <v>1612</v>
      </c>
      <c r="H26">
        <f>MEDIAN('P1'!G33,'P2'!G33,'P3'!G33,'P4'!G33,'P5'!G33)</f>
        <v>14.898336414048099</v>
      </c>
      <c r="I26">
        <f>MEDIAN('P1'!H33,'P2'!H33,'P3'!H33,'P4'!H33,'P5'!H33)</f>
        <v>284</v>
      </c>
      <c r="J26">
        <f>MEDIAN('P1'!I33,'P2'!I33,'P3'!I33,'P4'!I33,'P5'!I33)</f>
        <v>85.101663585951897</v>
      </c>
      <c r="K26">
        <f>MEDIAN('P1'!J33,'P2'!J33,'P3'!J33,'P4'!J33,'P5'!J33)</f>
        <v>14.898336414048099</v>
      </c>
      <c r="L26">
        <f>MEDIAN('P1'!K33,'P2'!K33,'P3'!K33,'P4'!K33,'P5'!K33)</f>
        <v>50</v>
      </c>
      <c r="M26">
        <f>MEDIAN('P1'!L33,'P2'!L33,'P3'!L33,'P4'!L33,'P5'!L33)</f>
        <v>85.101663585951897</v>
      </c>
      <c r="N26">
        <f>MEDIAN('P1'!M33,'P2'!M33,'P3'!M33,'P4'!M33,'P5'!M33)</f>
        <v>85.101663585951897</v>
      </c>
      <c r="O26">
        <f>MEDIAN('P1'!N33,'P2'!N33,'P3'!N33,'P4'!N33,'P5'!N33)</f>
        <v>45.975634112242901</v>
      </c>
      <c r="P26">
        <f>MEDIAN('P1'!O33,'P2'!O33,'P3'!O33,'P4'!O33,'P5'!O33)</f>
        <v>85.101663585951897</v>
      </c>
      <c r="Q26">
        <f>MEDIAN('P1'!P33,'P2'!P33,'P3'!P33,'P4'!P33,'P5'!P33)</f>
        <v>78.252058947418206</v>
      </c>
      <c r="R26">
        <f>MEDIAN('P1'!Q33,'P2'!Q33,'P3'!Q33,'P4'!Q33,'P5'!Q33)</f>
        <v>85.123101100052395</v>
      </c>
      <c r="S26">
        <f>MEDIAN('P1'!R33,'P2'!R33,'P3'!R33,'P4'!R33,'P5'!R33)</f>
        <v>284</v>
      </c>
      <c r="T26">
        <f>MEDIAN('P1'!S33,'P2'!S33,'P3'!S33,'P4'!S33,'P5'!S33)</f>
        <v>14.8768988999476</v>
      </c>
      <c r="U26">
        <f>MEDIAN('P1'!T33,'P2'!T33,'P3'!T33,'P4'!T33,'P5'!T33)</f>
        <v>14.8768988999476</v>
      </c>
      <c r="V26">
        <f>MEDIAN('P1'!U33,'P2'!U33,'P3'!U33,'P4'!U33,'P5'!U33)</f>
        <v>85.123101100052395</v>
      </c>
      <c r="W26">
        <f>MEDIAN('P1'!V33,'P2'!V33,'P3'!V33,'P4'!V33,'P5'!V33)</f>
        <v>85.123101100052395</v>
      </c>
      <c r="X26">
        <f>MEDIAN('P1'!W33,'P2'!W33,'P3'!W33,'P4'!W33,'P5'!W33)</f>
        <v>50</v>
      </c>
      <c r="Y26">
        <f>MEDIAN('P1'!X33,'P2'!X33,'P3'!X33,'P4'!X33,'P5'!X33)</f>
        <v>85.123101100052395</v>
      </c>
      <c r="Z26">
        <f>MEDIAN('P1'!Y33,'P2'!Y33,'P3'!Y33,'P4'!Y33,'P5'!Y33)</f>
        <v>85.123101100052395</v>
      </c>
      <c r="AA26">
        <f>MEDIAN('P1'!Z33,'P2'!Z33,'P3'!Z33,'P4'!Z33,'P5'!Z33)</f>
        <v>45.9818902093945</v>
      </c>
      <c r="AB26">
        <f>MEDIAN('P1'!AA33,'P2'!AA33,'P3'!AA33,'P4'!AA33,'P5'!AA33)</f>
        <v>85.123101100052395</v>
      </c>
      <c r="AC26">
        <f>MEDIAN('P1'!AB33,'P2'!AB33,'P3'!AB33,'P4'!AB33,'P5'!AB33)</f>
        <v>78.282421781315904</v>
      </c>
      <c r="AD26">
        <f>MEDIAN('P1'!AC33,'P2'!AC33,'P3'!AC33,'P4'!AC33,'P5'!AC33)</f>
        <v>13517.1938205686</v>
      </c>
      <c r="AE26">
        <f>MEDIAN('P1'!AD33,'P2'!AD33,'P3'!AD33,'P4'!AD33,'P5'!AD33)</f>
        <v>10.612705</v>
      </c>
      <c r="AF26">
        <f>MEDIAN('P1'!AE33,'P2'!AE33,'P3'!AE33,'P4'!AE33,'P5'!AE33)</f>
        <v>643633</v>
      </c>
      <c r="AG26">
        <f>MEDIAN('P1'!AF33,'P2'!AF33,'P3'!AF33,'P4'!AF33,'P5'!AF33)</f>
        <v>642320</v>
      </c>
      <c r="AH26">
        <f>MEDIAN('P1'!AG33,'P2'!AG33,'P3'!AG33,'P4'!AG33,'P5'!AG33)</f>
        <v>642512</v>
      </c>
      <c r="AI26" t="e">
        <f>MEDIAN('P1'!AH33,'P2'!AH33,'P3'!AH33,'P4'!AH33,'P5'!AH33)</f>
        <v>#NUM!</v>
      </c>
    </row>
    <row r="27" spans="1:35" x14ac:dyDescent="0.2">
      <c r="A27" s="1">
        <v>0</v>
      </c>
      <c r="B27" s="2">
        <v>2.2999999999999998</v>
      </c>
      <c r="C27" s="2" t="s">
        <v>44</v>
      </c>
      <c r="D27" s="2" t="s">
        <v>45</v>
      </c>
      <c r="E27" s="2" t="s">
        <v>100</v>
      </c>
      <c r="F27">
        <f>MEDIAN('P1'!E12,'P2'!E12,'P3'!E12,'P4'!E12,'P5'!E12)</f>
        <v>84.057301293900196</v>
      </c>
      <c r="G27">
        <f>MEDIAN('P1'!F12,'P2'!F12,'P3'!F12,'P4'!F12,'P5'!F12)</f>
        <v>1725</v>
      </c>
      <c r="H27">
        <f>MEDIAN('P1'!G12,'P2'!G12,'P3'!G12,'P4'!G12,'P5'!G12)</f>
        <v>15.942698706099801</v>
      </c>
      <c r="I27">
        <f>MEDIAN('P1'!H12,'P2'!H12,'P3'!H12,'P4'!H12,'P5'!H12)</f>
        <v>65.582388852977104</v>
      </c>
      <c r="J27">
        <f>MEDIAN('P1'!I12,'P2'!I12,'P3'!I12,'P4'!I12,'P5'!I12)</f>
        <v>84.057301293900196</v>
      </c>
      <c r="K27">
        <f>MEDIAN('P1'!J12,'P2'!J12,'P3'!J12,'P4'!J12,'P5'!J12)</f>
        <v>81.054873406588101</v>
      </c>
      <c r="L27">
        <f>MEDIAN('P1'!K12,'P2'!K12,'P3'!K12,'P4'!K12,'P5'!K12)</f>
        <v>59.135167822564497</v>
      </c>
      <c r="M27">
        <f>MEDIAN('P1'!L12,'P2'!L12,'P3'!L12,'P4'!L12,'P5'!L12)</f>
        <v>84.057301293900196</v>
      </c>
      <c r="N27">
        <f>MEDIAN('P1'!M12,'P2'!M12,'P3'!M12,'P4'!M12,'P5'!M12)</f>
        <v>84.057301293900196</v>
      </c>
      <c r="O27">
        <f>MEDIAN('P1'!N12,'P2'!N12,'P3'!N12,'P4'!N12,'P5'!N12)</f>
        <v>60.816451258442797</v>
      </c>
      <c r="P27">
        <f>MEDIAN('P1'!O12,'P2'!O12,'P3'!O12,'P4'!O12,'P5'!O12)</f>
        <v>84.057301293900196</v>
      </c>
      <c r="Q27">
        <f>MEDIAN('P1'!P12,'P2'!P12,'P3'!P12,'P4'!P12,'P5'!P12)</f>
        <v>82.001798296644395</v>
      </c>
      <c r="R27">
        <f>MEDIAN('P1'!Q12,'P2'!Q12,'P3'!Q12,'P4'!Q12,'P5'!Q12)</f>
        <v>60.831384727357644</v>
      </c>
      <c r="S27">
        <f>MEDIAN('P1'!R12,'P2'!R12,'P3'!R12,'P4'!R12,'P5'!R12)</f>
        <v>83.539741219963048</v>
      </c>
      <c r="T27">
        <f>MEDIAN('P1'!S12,'P2'!S12,'P3'!S12,'P4'!S12,'P5'!S12)</f>
        <v>81.766340865908845</v>
      </c>
      <c r="U27">
        <f>MEDIAN('P1'!T12,'P2'!T12,'P3'!T12,'P4'!T12,'P5'!T12)</f>
        <v>15.584075432163401</v>
      </c>
      <c r="V27">
        <f>MEDIAN('P1'!U12,'P2'!U12,'P3'!U12,'P4'!U12,'P5'!U12)</f>
        <v>66.453419222711659</v>
      </c>
      <c r="W27">
        <f>MEDIAN('P1'!V12,'P2'!V12,'P3'!V12,'P4'!V12,'P5'!V12)</f>
        <v>84.415924567836598</v>
      </c>
      <c r="X27">
        <f>MEDIAN('P1'!W12,'P2'!W12,'P3'!W12,'P4'!W12,'P5'!W12)</f>
        <v>81.320557065523758</v>
      </c>
      <c r="Y27">
        <f>MEDIAN('P1'!X12,'P2'!X12,'P3'!X12,'P4'!X12,'P5'!X12)</f>
        <v>59.10092091007585</v>
      </c>
      <c r="Z27">
        <f>MEDIAN('P1'!Y12,'P2'!Y12,'P3'!Y12,'P4'!Y12,'P5'!Y12)</f>
        <v>84.415924567836598</v>
      </c>
      <c r="AA27">
        <f>MEDIAN('P1'!Z12,'P2'!Z12,'P3'!Z12,'P4'!Z12,'P5'!Z12)</f>
        <v>84.415924567836598</v>
      </c>
      <c r="AB27">
        <f>MEDIAN('P1'!AA12,'P2'!AA12,'P3'!AA12,'P4'!AA12,'P5'!AA12)</f>
        <v>60.883653108223548</v>
      </c>
      <c r="AC27">
        <f>MEDIAN('P1'!AB12,'P2'!AB12,'P3'!AB12,'P4'!AB12,'P5'!AB12)</f>
        <v>84.415924567836598</v>
      </c>
      <c r="AD27">
        <f>MEDIAN('P1'!AC12,'P2'!AC12,'P3'!AC12,'P4'!AC12,'P5'!AC12)</f>
        <v>22969.0830198613</v>
      </c>
      <c r="AE27">
        <f>MEDIAN('P1'!AD12,'P2'!AD12,'P3'!AD12,'P4'!AD12,'P5'!AD12)</f>
        <v>133.97675699999999</v>
      </c>
      <c r="AF27">
        <f>MEDIAN('P1'!AE12,'P2'!AE12,'P3'!AE12,'P4'!AE12,'P5'!AE12)</f>
        <v>683017</v>
      </c>
      <c r="AG27">
        <f>MEDIAN('P1'!AF12,'P2'!AF12,'P3'!AF12,'P4'!AF12,'P5'!AF12)</f>
        <v>681872</v>
      </c>
      <c r="AH27">
        <f>MEDIAN('P1'!AG12,'P2'!AG12,'P3'!AG12,'P4'!AG12,'P5'!AG12)</f>
        <v>347683</v>
      </c>
      <c r="AI27" t="e">
        <f>MEDIAN('P1'!AH12,'P2'!AH12,'P3'!AH12,'P4'!AH12,'P5'!AH12)</f>
        <v>#NUM!</v>
      </c>
    </row>
    <row r="28" spans="1:35" x14ac:dyDescent="0.2">
      <c r="A28" s="1">
        <v>0</v>
      </c>
      <c r="B28" s="2">
        <v>2.4</v>
      </c>
      <c r="C28" s="2" t="s">
        <v>44</v>
      </c>
      <c r="D28" s="2" t="s">
        <v>73</v>
      </c>
      <c r="E28" s="2" t="s">
        <v>73</v>
      </c>
      <c r="F28">
        <f>MEDIAN('P1'!E13,'P2'!E13,'P3'!E13,'P4'!E13,'P5'!E13)</f>
        <v>85.101663585951897</v>
      </c>
      <c r="G28">
        <f>MEDIAN('P1'!F13,'P2'!F13,'P3'!F13,'P4'!F13,'P5'!F13)</f>
        <v>1612</v>
      </c>
      <c r="H28">
        <f>MEDIAN('P1'!G13,'P2'!G13,'P3'!G13,'P4'!G13,'P5'!G13)</f>
        <v>14.898336414048099</v>
      </c>
      <c r="I28">
        <f>MEDIAN('P1'!H13,'P2'!H13,'P3'!H13,'P4'!H13,'P5'!H13)</f>
        <v>278.5</v>
      </c>
      <c r="J28">
        <f>MEDIAN('P1'!I13,'P2'!I13,'P3'!I13,'P4'!I13,'P5'!I13)</f>
        <v>85.101663585951897</v>
      </c>
      <c r="K28">
        <f>MEDIAN('P1'!J13,'P2'!J13,'P3'!J13,'P4'!J13,'P5'!J13)</f>
        <v>14.658040665434399</v>
      </c>
      <c r="L28">
        <f>MEDIAN('P1'!K13,'P2'!K13,'P3'!K13,'P4'!K13,'P5'!K13)</f>
        <v>50</v>
      </c>
      <c r="M28">
        <f>MEDIAN('P1'!L13,'P2'!L13,'P3'!L13,'P4'!L13,'P5'!L13)</f>
        <v>85.101663585951897</v>
      </c>
      <c r="N28">
        <f>MEDIAN('P1'!M13,'P2'!M13,'P3'!M13,'P4'!M13,'P5'!M13)</f>
        <v>85.101663585951897</v>
      </c>
      <c r="O28">
        <f>MEDIAN('P1'!N13,'P2'!N13,'P3'!N13,'P4'!N13,'P5'!N13)</f>
        <v>45.975634112242901</v>
      </c>
      <c r="P28">
        <f>MEDIAN('P1'!O13,'P2'!O13,'P3'!O13,'P4'!O13,'P5'!O13)</f>
        <v>85.101663585951897</v>
      </c>
      <c r="Q28">
        <f>MEDIAN('P1'!P13,'P2'!P13,'P3'!P13,'P4'!P13,'P5'!P13)</f>
        <v>78.252058947418206</v>
      </c>
      <c r="R28">
        <f>MEDIAN('P1'!Q13,'P2'!Q13,'P3'!Q13,'P4'!Q13,'P5'!Q13)</f>
        <v>85.123101100052395</v>
      </c>
      <c r="S28">
        <f>MEDIAN('P1'!R13,'P2'!R13,'P3'!R13,'P4'!R13,'P5'!R13)</f>
        <v>284</v>
      </c>
      <c r="T28">
        <f>MEDIAN('P1'!S13,'P2'!S13,'P3'!S13,'P4'!S13,'P5'!S13)</f>
        <v>14.8768988999476</v>
      </c>
      <c r="U28">
        <f>MEDIAN('P1'!T13,'P2'!T13,'P3'!T13,'P4'!T13,'P5'!T13)</f>
        <v>14.588789942378199</v>
      </c>
      <c r="V28">
        <f>MEDIAN('P1'!U13,'P2'!U13,'P3'!U13,'P4'!U13,'P5'!U13)</f>
        <v>85.123101100052395</v>
      </c>
      <c r="W28">
        <f>MEDIAN('P1'!V13,'P2'!V13,'P3'!V13,'P4'!V13,'P5'!V13)</f>
        <v>85.411210057621787</v>
      </c>
      <c r="X28">
        <f>MEDIAN('P1'!W13,'P2'!W13,'P3'!W13,'P4'!W13,'P5'!W13)</f>
        <v>50</v>
      </c>
      <c r="Y28">
        <f>MEDIAN('P1'!X13,'P2'!X13,'P3'!X13,'P4'!X13,'P5'!X13)</f>
        <v>85.123101100052395</v>
      </c>
      <c r="Z28">
        <f>MEDIAN('P1'!Y13,'P2'!Y13,'P3'!Y13,'P4'!Y13,'P5'!Y13)</f>
        <v>85.123101100052395</v>
      </c>
      <c r="AA28">
        <f>MEDIAN('P1'!Z13,'P2'!Z13,'P3'!Z13,'P4'!Z13,'P5'!Z13)</f>
        <v>45.9818902093945</v>
      </c>
      <c r="AB28">
        <f>MEDIAN('P1'!AA13,'P2'!AA13,'P3'!AA13,'P4'!AA13,'P5'!AA13)</f>
        <v>85.123101100052395</v>
      </c>
      <c r="AC28">
        <f>MEDIAN('P1'!AB13,'P2'!AB13,'P3'!AB13,'P4'!AB13,'P5'!AB13)</f>
        <v>78.282421781315904</v>
      </c>
      <c r="AD28">
        <f>MEDIAN('P1'!AC13,'P2'!AC13,'P3'!AC13,'P4'!AC13,'P5'!AC13)</f>
        <v>5153.9492255024297</v>
      </c>
      <c r="AE28">
        <f>MEDIAN('P1'!AD13,'P2'!AD13,'P3'!AD13,'P4'!AD13,'P5'!AD13)</f>
        <v>52.189258000000002</v>
      </c>
      <c r="AF28">
        <f>MEDIAN('P1'!AE13,'P2'!AE13,'P3'!AE13,'P4'!AE13,'P5'!AE13)</f>
        <v>2084805</v>
      </c>
      <c r="AG28">
        <f>MEDIAN('P1'!AF13,'P2'!AF13,'P3'!AF13,'P4'!AF13,'P5'!AF13)</f>
        <v>2083664</v>
      </c>
      <c r="AH28">
        <f>MEDIAN('P1'!AG13,'P2'!AG13,'P3'!AG13,'P4'!AG13,'P5'!AG13)</f>
        <v>1045729</v>
      </c>
      <c r="AI28" t="e">
        <f>MEDIAN('P1'!AH13,'P2'!AH13,'P3'!AH13,'P4'!AH13,'P5'!AH13)</f>
        <v>#NUM!</v>
      </c>
    </row>
    <row r="29" spans="1:35" x14ac:dyDescent="0.2">
      <c r="A29" s="1">
        <v>0</v>
      </c>
      <c r="B29" s="2">
        <v>2.5</v>
      </c>
      <c r="C29" s="2" t="s">
        <v>44</v>
      </c>
      <c r="D29" s="2" t="s">
        <v>74</v>
      </c>
      <c r="E29" s="2" t="s">
        <v>74</v>
      </c>
      <c r="F29">
        <f>MEDIAN('P1'!E14,'P2'!E14,'P3'!E14,'P4'!E14,'P5'!E14)</f>
        <v>85.508317929759698</v>
      </c>
      <c r="G29">
        <f>MEDIAN('P1'!F14,'P2'!F14,'P3'!F14,'P4'!F14,'P5'!F14)</f>
        <v>1568</v>
      </c>
      <c r="H29">
        <f>MEDIAN('P1'!G14,'P2'!G14,'P3'!G14,'P4'!G14,'P5'!G14)</f>
        <v>14.4916820702403</v>
      </c>
      <c r="I29">
        <f>MEDIAN('P1'!H14,'P2'!H14,'P3'!H14,'P4'!H14,'P5'!H14)</f>
        <v>77.017133956386303</v>
      </c>
      <c r="J29">
        <f>MEDIAN('P1'!I14,'P2'!I14,'P3'!I14,'P4'!I14,'P5'!I14)</f>
        <v>85.508317929759698</v>
      </c>
      <c r="K29">
        <f>MEDIAN('P1'!J14,'P2'!J14,'P3'!J14,'P4'!J14,'P5'!J14)</f>
        <v>83.113450918743993</v>
      </c>
      <c r="L29">
        <f>MEDIAN('P1'!K14,'P2'!K14,'P3'!K14,'P4'!K14,'P5'!K14)</f>
        <v>52.337082006583998</v>
      </c>
      <c r="M29">
        <f>MEDIAN('P1'!L14,'P2'!L14,'P3'!L14,'P4'!L14,'P5'!L14)</f>
        <v>85.508317929759698</v>
      </c>
      <c r="N29">
        <f>MEDIAN('P1'!M14,'P2'!M14,'P3'!M14,'P4'!M14,'P5'!M14)</f>
        <v>85.508317929759698</v>
      </c>
      <c r="O29">
        <f>MEDIAN('P1'!N14,'P2'!N14,'P3'!N14,'P4'!N14,'P5'!N14)</f>
        <v>50.79629575493</v>
      </c>
      <c r="P29">
        <f>MEDIAN('P1'!O14,'P2'!O14,'P3'!O14,'P4'!O14,'P5'!O14)</f>
        <v>85.508317929759698</v>
      </c>
      <c r="Q29">
        <f>MEDIAN('P1'!P14,'P2'!P14,'P3'!P14,'P4'!P14,'P5'!P14)</f>
        <v>79.8095572470082</v>
      </c>
      <c r="R29">
        <f>MEDIAN('P1'!Q14,'P2'!Q14,'P3'!Q14,'P4'!Q14,'P5'!Q14)</f>
        <v>85.5421686746988</v>
      </c>
      <c r="S29">
        <f>MEDIAN('P1'!R14,'P2'!R14,'P3'!R14,'P4'!R14,'P5'!R14)</f>
        <v>276</v>
      </c>
      <c r="T29">
        <f>MEDIAN('P1'!S14,'P2'!S14,'P3'!S14,'P4'!S14,'P5'!S14)</f>
        <v>14.4578313253012</v>
      </c>
      <c r="U29">
        <f>MEDIAN('P1'!T14,'P2'!T14,'P3'!T14,'P4'!T14,'P5'!T14)</f>
        <v>76.224580017683493</v>
      </c>
      <c r="V29">
        <f>MEDIAN('P1'!U14,'P2'!U14,'P3'!U14,'P4'!U14,'P5'!U14)</f>
        <v>85.5421686746988</v>
      </c>
      <c r="W29">
        <f>MEDIAN('P1'!V14,'P2'!V14,'P3'!V14,'P4'!V14,'P5'!V14)</f>
        <v>82.938651156349493</v>
      </c>
      <c r="X29">
        <f>MEDIAN('P1'!W14,'P2'!W14,'P3'!W14,'P4'!W14,'P5'!W14)</f>
        <v>52.570747562296901</v>
      </c>
      <c r="Y29">
        <f>MEDIAN('P1'!X14,'P2'!X14,'P3'!X14,'P4'!X14,'P5'!X14)</f>
        <v>85.5421686746988</v>
      </c>
      <c r="Z29">
        <f>MEDIAN('P1'!Y14,'P2'!Y14,'P3'!Y14,'P4'!Y14,'P5'!Y14)</f>
        <v>85.5421686746988</v>
      </c>
      <c r="AA29">
        <f>MEDIAN('P1'!Z14,'P2'!Z14,'P3'!Z14,'P4'!Z14,'P5'!Z14)</f>
        <v>51.263181263181302</v>
      </c>
      <c r="AB29">
        <f>MEDIAN('P1'!AA14,'P2'!AA14,'P3'!AA14,'P4'!AA14,'P5'!AA14)</f>
        <v>85.5421686746988</v>
      </c>
      <c r="AC29">
        <f>MEDIAN('P1'!AB14,'P2'!AB14,'P3'!AB14,'P4'!AB14,'P5'!AB14)</f>
        <v>79.975312505432996</v>
      </c>
      <c r="AD29">
        <f>MEDIAN('P1'!AC14,'P2'!AC14,'P3'!AC14,'P4'!AC14,'P5'!AC14)</f>
        <v>7242.5497791423904</v>
      </c>
      <c r="AE29">
        <f>MEDIAN('P1'!AD14,'P2'!AD14,'P3'!AD14,'P4'!AD14,'P5'!AD14)</f>
        <v>31.924454000000001</v>
      </c>
      <c r="AF29">
        <f>MEDIAN('P1'!AE14,'P2'!AE14,'P3'!AE14,'P4'!AE14,'P5'!AE14)</f>
        <v>830085</v>
      </c>
      <c r="AG29">
        <f>MEDIAN('P1'!AF14,'P2'!AF14,'P3'!AF14,'P4'!AF14,'P5'!AF14)</f>
        <v>828944</v>
      </c>
      <c r="AH29">
        <f>MEDIAN('P1'!AG14,'P2'!AG14,'P3'!AG14,'P4'!AG14,'P5'!AG14)</f>
        <v>424999</v>
      </c>
      <c r="AI29" t="e">
        <f>MEDIAN('P1'!AH14,'P2'!AH14,'P3'!AH14,'P4'!AH14,'P5'!AH14)</f>
        <v>#NUM!</v>
      </c>
    </row>
    <row r="30" spans="1:35" x14ac:dyDescent="0.2">
      <c r="A30" s="1">
        <v>0</v>
      </c>
      <c r="B30" s="2">
        <v>2.6</v>
      </c>
      <c r="C30" s="2" t="s">
        <v>44</v>
      </c>
      <c r="D30" s="2" t="s">
        <v>76</v>
      </c>
      <c r="E30" s="2" t="s">
        <v>76</v>
      </c>
      <c r="F30">
        <f>MEDIAN('P1'!E15,'P2'!E15,'P3'!E15,'P4'!E15,'P5'!E15)</f>
        <v>85.101663585951897</v>
      </c>
      <c r="G30">
        <f>MEDIAN('P1'!F15,'P2'!F15,'P3'!F15,'P4'!F15,'P5'!F15)</f>
        <v>1612</v>
      </c>
      <c r="H30">
        <f>MEDIAN('P1'!G15,'P2'!G15,'P3'!G15,'P4'!G15,'P5'!G15)</f>
        <v>14.898336414048099</v>
      </c>
      <c r="I30">
        <f>MEDIAN('P1'!H15,'P2'!H15,'P3'!H15,'P4'!H15,'P5'!H15)</f>
        <v>289</v>
      </c>
      <c r="J30">
        <f>MEDIAN('P1'!I15,'P2'!I15,'P3'!I15,'P4'!I15,'P5'!I15)</f>
        <v>85.101663585951897</v>
      </c>
      <c r="K30">
        <f>MEDIAN('P1'!J15,'P2'!J15,'P3'!J15,'P4'!J15,'P5'!J15)</f>
        <v>15.17097966728285</v>
      </c>
      <c r="L30">
        <f>MEDIAN('P1'!K15,'P2'!K15,'P3'!K15,'P4'!K15,'P5'!K15)</f>
        <v>50</v>
      </c>
      <c r="M30">
        <f>MEDIAN('P1'!L15,'P2'!L15,'P3'!L15,'P4'!L15,'P5'!L15)</f>
        <v>85.101663585951897</v>
      </c>
      <c r="N30">
        <f>MEDIAN('P1'!M15,'P2'!M15,'P3'!M15,'P4'!M15,'P5'!M15)</f>
        <v>85.101663585951897</v>
      </c>
      <c r="O30">
        <f>MEDIAN('P1'!N15,'P2'!N15,'P3'!N15,'P4'!N15,'P5'!N15)</f>
        <v>45.975634112242901</v>
      </c>
      <c r="P30">
        <f>MEDIAN('P1'!O15,'P2'!O15,'P3'!O15,'P4'!O15,'P5'!O15)</f>
        <v>85.101663585951897</v>
      </c>
      <c r="Q30">
        <f>MEDIAN('P1'!P15,'P2'!P15,'P3'!P15,'P4'!P15,'P5'!P15)</f>
        <v>78.252058947418206</v>
      </c>
      <c r="R30">
        <f>MEDIAN('P1'!Q15,'P2'!Q15,'P3'!Q15,'P4'!Q15,'P5'!Q15)</f>
        <v>85.123101100052395</v>
      </c>
      <c r="S30">
        <f>MEDIAN('P1'!R15,'P2'!R15,'P3'!R15,'P4'!R15,'P5'!R15)</f>
        <v>284</v>
      </c>
      <c r="T30">
        <f>MEDIAN('P1'!S15,'P2'!S15,'P3'!S15,'P4'!S15,'P5'!S15)</f>
        <v>14.8768988999476</v>
      </c>
      <c r="U30">
        <f>MEDIAN('P1'!T15,'P2'!T15,'P3'!T15,'P4'!T15,'P5'!T15)</f>
        <v>15.138816134101599</v>
      </c>
      <c r="V30">
        <f>MEDIAN('P1'!U15,'P2'!U15,'P3'!U15,'P4'!U15,'P5'!U15)</f>
        <v>85.123101100052395</v>
      </c>
      <c r="W30">
        <f>MEDIAN('P1'!V15,'P2'!V15,'P3'!V15,'P4'!V15,'P5'!V15)</f>
        <v>84.861183865898397</v>
      </c>
      <c r="X30">
        <f>MEDIAN('P1'!W15,'P2'!W15,'P3'!W15,'P4'!W15,'P5'!W15)</f>
        <v>50</v>
      </c>
      <c r="Y30">
        <f>MEDIAN('P1'!X15,'P2'!X15,'P3'!X15,'P4'!X15,'P5'!X15)</f>
        <v>85.123101100052395</v>
      </c>
      <c r="Z30">
        <f>MEDIAN('P1'!Y15,'P2'!Y15,'P3'!Y15,'P4'!Y15,'P5'!Y15)</f>
        <v>85.123101100052395</v>
      </c>
      <c r="AA30">
        <f>MEDIAN('P1'!Z15,'P2'!Z15,'P3'!Z15,'P4'!Z15,'P5'!Z15)</f>
        <v>45.9818902093945</v>
      </c>
      <c r="AB30">
        <f>MEDIAN('P1'!AA15,'P2'!AA15,'P3'!AA15,'P4'!AA15,'P5'!AA15)</f>
        <v>85.123101100052395</v>
      </c>
      <c r="AC30">
        <f>MEDIAN('P1'!AB15,'P2'!AB15,'P3'!AB15,'P4'!AB15,'P5'!AB15)</f>
        <v>78.282421781315904</v>
      </c>
      <c r="AD30">
        <f>MEDIAN('P1'!AC15,'P2'!AC15,'P3'!AC15,'P4'!AC15,'P5'!AC15)</f>
        <v>7871.6098242346598</v>
      </c>
      <c r="AE30">
        <f>MEDIAN('P1'!AD15,'P2'!AD15,'P3'!AD15,'P4'!AD15,'P5'!AD15)</f>
        <v>34.127937000000003</v>
      </c>
      <c r="AF30">
        <f>MEDIAN('P1'!AE15,'P2'!AE15,'P3'!AE15,'P4'!AE15,'P5'!AE15)</f>
        <v>689349</v>
      </c>
      <c r="AG30">
        <f>MEDIAN('P1'!AF15,'P2'!AF15,'P3'!AF15,'P4'!AF15,'P5'!AF15)</f>
        <v>688208</v>
      </c>
      <c r="AH30">
        <f>MEDIAN('P1'!AG15,'P2'!AG15,'P3'!AG15,'P4'!AG15,'P5'!AG15)</f>
        <v>353023</v>
      </c>
      <c r="AI30" t="e">
        <f>MEDIAN('P1'!AH15,'P2'!AH15,'P3'!AH15,'P4'!AH15,'P5'!AH15)</f>
        <v>#NUM!</v>
      </c>
    </row>
    <row r="31" spans="1:35" x14ac:dyDescent="0.2">
      <c r="A31" s="1">
        <v>0</v>
      </c>
      <c r="B31" s="2">
        <v>2.7</v>
      </c>
      <c r="C31" s="2" t="s">
        <v>44</v>
      </c>
      <c r="D31" s="2" t="s">
        <v>78</v>
      </c>
      <c r="E31" s="2" t="s">
        <v>101</v>
      </c>
      <c r="F31">
        <f>MEDIAN('P1'!E16,'P2'!E16,'P3'!E16,'P4'!E16,'P5'!E16)</f>
        <v>86.312384473197795</v>
      </c>
      <c r="G31">
        <f>MEDIAN('P1'!F16,'P2'!F16,'P3'!F16,'P4'!F16,'P5'!F16)</f>
        <v>1481</v>
      </c>
      <c r="H31">
        <f>MEDIAN('P1'!G16,'P2'!G16,'P3'!G16,'P4'!G16,'P5'!G16)</f>
        <v>13.687615526802199</v>
      </c>
      <c r="I31">
        <f>MEDIAN('P1'!H16,'P2'!H16,'P3'!H16,'P4'!H16,'P5'!H16)</f>
        <v>75.593552767590396</v>
      </c>
      <c r="J31">
        <f>MEDIAN('P1'!I16,'P2'!I16,'P3'!I16,'P4'!I16,'P5'!I16)</f>
        <v>86.312384473197795</v>
      </c>
      <c r="K31">
        <f>MEDIAN('P1'!J16,'P2'!J16,'P3'!J16,'P4'!J16,'P5'!J16)</f>
        <v>83.839475963437394</v>
      </c>
      <c r="L31">
        <f>MEDIAN('P1'!K16,'P2'!K16,'P3'!K16,'P4'!K16,'P5'!K16)</f>
        <v>58.4387052579158</v>
      </c>
      <c r="M31">
        <f>MEDIAN('P1'!L16,'P2'!L16,'P3'!L16,'P4'!L16,'P5'!L16)</f>
        <v>86.312384473197795</v>
      </c>
      <c r="N31">
        <f>MEDIAN('P1'!M16,'P2'!M16,'P3'!M16,'P4'!M16,'P5'!M16)</f>
        <v>86.312384473197795</v>
      </c>
      <c r="O31">
        <f>MEDIAN('P1'!N16,'P2'!N16,'P3'!N16,'P4'!N16,'P5'!N16)</f>
        <v>60.697657164475501</v>
      </c>
      <c r="P31">
        <f>MEDIAN('P1'!O16,'P2'!O16,'P3'!O16,'P4'!O16,'P5'!O16)</f>
        <v>86.312384473197795</v>
      </c>
      <c r="Q31">
        <f>MEDIAN('P1'!P16,'P2'!P16,'P3'!P16,'P4'!P16,'P5'!P16)</f>
        <v>82.972353058814903</v>
      </c>
      <c r="R31">
        <f>MEDIAN('P1'!Q16,'P2'!Q16,'P3'!Q16,'P4'!Q16,'P5'!Q16)</f>
        <v>86.694604504976397</v>
      </c>
      <c r="S31">
        <f>MEDIAN('P1'!R16,'P2'!R16,'P3'!R16,'P4'!R16,'P5'!R16)</f>
        <v>254</v>
      </c>
      <c r="T31">
        <f>MEDIAN('P1'!S16,'P2'!S16,'P3'!S16,'P4'!S16,'P5'!S16)</f>
        <v>13.3053954950236</v>
      </c>
      <c r="U31">
        <f>MEDIAN('P1'!T16,'P2'!T16,'P3'!T16,'P4'!T16,'P5'!T16)</f>
        <v>76.717629619415305</v>
      </c>
      <c r="V31">
        <f>MEDIAN('P1'!U16,'P2'!U16,'P3'!U16,'P4'!U16,'P5'!U16)</f>
        <v>86.694604504976397</v>
      </c>
      <c r="W31">
        <f>MEDIAN('P1'!V16,'P2'!V16,'P3'!V16,'P4'!V16,'P5'!V16)</f>
        <v>84.509780651178502</v>
      </c>
      <c r="X31">
        <f>MEDIAN('P1'!W16,'P2'!W16,'P3'!W16,'P4'!W16,'P5'!W16)</f>
        <v>60.076164680390001</v>
      </c>
      <c r="Y31">
        <f>MEDIAN('P1'!X16,'P2'!X16,'P3'!X16,'P4'!X16,'P5'!X16)</f>
        <v>86.694604504976397</v>
      </c>
      <c r="Z31">
        <f>MEDIAN('P1'!Y16,'P2'!Y16,'P3'!Y16,'P4'!Y16,'P5'!Y16)</f>
        <v>86.694604504976397</v>
      </c>
      <c r="AA31">
        <f>MEDIAN('P1'!Z16,'P2'!Z16,'P3'!Z16,'P4'!Z16,'P5'!Z16)</f>
        <v>62.884939224151097</v>
      </c>
      <c r="AB31">
        <f>MEDIAN('P1'!AA16,'P2'!AA16,'P3'!AA16,'P4'!AA16,'P5'!AA16)</f>
        <v>86.694604504976397</v>
      </c>
      <c r="AC31">
        <f>MEDIAN('P1'!AB16,'P2'!AB16,'P3'!AB16,'P4'!AB16,'P5'!AB16)</f>
        <v>83.767059002821298</v>
      </c>
      <c r="AD31">
        <f>MEDIAN('P1'!AC16,'P2'!AC16,'P3'!AC16,'P4'!AC16,'P5'!AC16)</f>
        <v>21927.957943716901</v>
      </c>
      <c r="AE31">
        <f>MEDIAN('P1'!AD16,'P2'!AD16,'P3'!AD16,'P4'!AD16,'P5'!AD16)</f>
        <v>21.029221</v>
      </c>
      <c r="AF31">
        <f>MEDIAN('P1'!AE16,'P2'!AE16,'P3'!AE16,'P4'!AE16,'P5'!AE16)</f>
        <v>359622</v>
      </c>
      <c r="AG31">
        <f>MEDIAN('P1'!AF16,'P2'!AF16,'P3'!AF16,'P4'!AF16,'P5'!AF16)</f>
        <v>174199</v>
      </c>
      <c r="AH31">
        <f>MEDIAN('P1'!AG16,'P2'!AG16,'P3'!AG16,'P4'!AG16,'P5'!AG16)</f>
        <v>91218.5</v>
      </c>
      <c r="AI31" t="e">
        <f>MEDIAN('P1'!AH16,'P2'!AH16,'P3'!AH16,'P4'!AH16,'P5'!AH16)</f>
        <v>#NUM!</v>
      </c>
    </row>
    <row r="32" spans="1:35" x14ac:dyDescent="0.2">
      <c r="A32" s="1">
        <v>0</v>
      </c>
      <c r="B32" s="2">
        <v>2.8</v>
      </c>
      <c r="C32" s="2" t="s">
        <v>44</v>
      </c>
      <c r="D32" s="2" t="s">
        <v>78</v>
      </c>
      <c r="E32" s="2" t="s">
        <v>102</v>
      </c>
      <c r="F32">
        <f>MEDIAN('P1'!E17,'P2'!E17,'P3'!E17,'P4'!E17,'P5'!E17)</f>
        <v>85.905730129389994</v>
      </c>
      <c r="G32">
        <f>MEDIAN('P1'!F17,'P2'!F17,'P3'!F17,'P4'!F17,'P5'!F17)</f>
        <v>1525</v>
      </c>
      <c r="H32">
        <f>MEDIAN('P1'!G17,'P2'!G17,'P3'!G17,'P4'!G17,'P5'!G17)</f>
        <v>14.094269870610001</v>
      </c>
      <c r="I32">
        <f>MEDIAN('P1'!H17,'P2'!H17,'P3'!H17,'P4'!H17,'P5'!H17)</f>
        <v>72.448958391560495</v>
      </c>
      <c r="J32">
        <f>MEDIAN('P1'!I17,'P2'!I17,'P3'!I17,'P4'!I17,'P5'!I17)</f>
        <v>85.905730129389994</v>
      </c>
      <c r="K32">
        <f>MEDIAN('P1'!J17,'P2'!J17,'P3'!J17,'P4'!J17,'P5'!J17)</f>
        <v>83.059051615616198</v>
      </c>
      <c r="L32">
        <f>MEDIAN('P1'!K17,'P2'!K17,'P3'!K17,'P4'!K17,'P5'!K17)</f>
        <v>59.172100320575701</v>
      </c>
      <c r="M32">
        <f>MEDIAN('P1'!L17,'P2'!L17,'P3'!L17,'P4'!L17,'P5'!L17)</f>
        <v>85.905730129389994</v>
      </c>
      <c r="N32">
        <f>MEDIAN('P1'!M17,'P2'!M17,'P3'!M17,'P4'!M17,'P5'!M17)</f>
        <v>85.905730129389994</v>
      </c>
      <c r="O32">
        <f>MEDIAN('P1'!N17,'P2'!N17,'P3'!N17,'P4'!N17,'P5'!N17)</f>
        <v>61.496166942894099</v>
      </c>
      <c r="P32">
        <f>MEDIAN('P1'!O17,'P2'!O17,'P3'!O17,'P4'!O17,'P5'!O17)</f>
        <v>85.905730129389994</v>
      </c>
      <c r="Q32">
        <f>MEDIAN('P1'!P17,'P2'!P17,'P3'!P17,'P4'!P17,'P5'!P17)</f>
        <v>83.018516561538704</v>
      </c>
      <c r="R32">
        <f>MEDIAN('P1'!Q17,'P2'!Q17,'P3'!Q17,'P4'!Q17,'P5'!Q17)</f>
        <v>86.170770036668401</v>
      </c>
      <c r="S32">
        <f>MEDIAN('P1'!R17,'P2'!R17,'P3'!R17,'P4'!R17,'P5'!R17)</f>
        <v>264</v>
      </c>
      <c r="T32">
        <f>MEDIAN('P1'!S17,'P2'!S17,'P3'!S17,'P4'!S17,'P5'!S17)</f>
        <v>13.829229963331599</v>
      </c>
      <c r="U32">
        <f>MEDIAN('P1'!T17,'P2'!T17,'P3'!T17,'P4'!T17,'P5'!T17)</f>
        <v>74.065705409999396</v>
      </c>
      <c r="V32">
        <f>MEDIAN('P1'!U17,'P2'!U17,'P3'!U17,'P4'!U17,'P5'!U17)</f>
        <v>86.170770036668401</v>
      </c>
      <c r="W32">
        <f>MEDIAN('P1'!V17,'P2'!V17,'P3'!V17,'P4'!V17,'P5'!V17)</f>
        <v>83.497949259135495</v>
      </c>
      <c r="X32">
        <f>MEDIAN('P1'!W17,'P2'!W17,'P3'!W17,'P4'!W17,'P5'!W17)</f>
        <v>58.896749729144098</v>
      </c>
      <c r="Y32">
        <f>MEDIAN('P1'!X17,'P2'!X17,'P3'!X17,'P4'!X17,'P5'!X17)</f>
        <v>86.170770036668401</v>
      </c>
      <c r="Z32">
        <f>MEDIAN('P1'!Y17,'P2'!Y17,'P3'!Y17,'P4'!Y17,'P5'!Y17)</f>
        <v>86.170770036668401</v>
      </c>
      <c r="AA32">
        <f>MEDIAN('P1'!Z17,'P2'!Z17,'P3'!Z17,'P4'!Z17,'P5'!Z17)</f>
        <v>61.2421557770395</v>
      </c>
      <c r="AB32">
        <f>MEDIAN('P1'!AA17,'P2'!AA17,'P3'!AA17,'P4'!AA17,'P5'!AA17)</f>
        <v>86.170770036668401</v>
      </c>
      <c r="AC32">
        <f>MEDIAN('P1'!AB17,'P2'!AB17,'P3'!AB17,'P4'!AB17,'P5'!AB17)</f>
        <v>83.0770817875962</v>
      </c>
      <c r="AD32">
        <f>MEDIAN('P1'!AC17,'P2'!AC17,'P3'!AC17,'P4'!AC17,'P5'!AC17)</f>
        <v>14408.377632658299</v>
      </c>
      <c r="AE32">
        <f>MEDIAN('P1'!AD17,'P2'!AD17,'P3'!AD17,'P4'!AD17,'P5'!AD17)</f>
        <v>44.125030000000002</v>
      </c>
      <c r="AF32">
        <f>MEDIAN('P1'!AE17,'P2'!AE17,'P3'!AE17,'P4'!AE17,'P5'!AE17)</f>
        <v>5979810</v>
      </c>
      <c r="AG32">
        <f>MEDIAN('P1'!AF17,'P2'!AF17,'P3'!AF17,'P4'!AF17,'P5'!AF17)</f>
        <v>4368531</v>
      </c>
      <c r="AH32">
        <f>MEDIAN('P1'!AG17,'P2'!AG17,'P3'!AG17,'P4'!AG17,'P5'!AG17)</f>
        <v>2188651.5</v>
      </c>
      <c r="AI32" t="e">
        <f>MEDIAN('P1'!AH17,'P2'!AH17,'P3'!AH17,'P4'!AH17,'P5'!AH17)</f>
        <v>#NUM!</v>
      </c>
    </row>
    <row r="33" spans="1:35" x14ac:dyDescent="0.2">
      <c r="A33" s="1">
        <v>0</v>
      </c>
      <c r="B33" s="2">
        <v>2.9</v>
      </c>
      <c r="C33" s="2" t="s">
        <v>44</v>
      </c>
      <c r="D33" s="2" t="s">
        <v>51</v>
      </c>
      <c r="E33" s="2" t="s">
        <v>103</v>
      </c>
      <c r="F33">
        <f>MEDIAN('P1'!E18,'P2'!E18,'P3'!E18,'P4'!E18,'P5'!E18)</f>
        <v>71.377079482439896</v>
      </c>
      <c r="G33">
        <f>MEDIAN('P1'!F18,'P2'!F18,'P3'!F18,'P4'!F18,'P5'!F18)</f>
        <v>3097</v>
      </c>
      <c r="H33">
        <f>MEDIAN('P1'!G18,'P2'!G18,'P3'!G18,'P4'!G18,'P5'!G18)</f>
        <v>28.6229205175601</v>
      </c>
      <c r="I33">
        <f>MEDIAN('P1'!H18,'P2'!H18,'P3'!H18,'P4'!H18,'P5'!H18)</f>
        <v>63.371817970342903</v>
      </c>
      <c r="J33">
        <f>MEDIAN('P1'!I18,'P2'!I18,'P3'!I18,'P4'!I18,'P5'!I18)</f>
        <v>71.377079482439896</v>
      </c>
      <c r="K33">
        <f>MEDIAN('P1'!J18,'P2'!J18,'P3'!J18,'P4'!J18,'P5'!J18)</f>
        <v>85.645798353452506</v>
      </c>
      <c r="L33">
        <f>MEDIAN('P1'!K18,'P2'!K18,'P3'!K18,'P4'!K18,'P5'!K18)</f>
        <v>74.688115092497</v>
      </c>
      <c r="M33">
        <f>MEDIAN('P1'!L18,'P2'!L18,'P3'!L18,'P4'!L18,'P5'!L18)</f>
        <v>71.377079482439896</v>
      </c>
      <c r="N33">
        <f>MEDIAN('P1'!M18,'P2'!M18,'P3'!M18,'P4'!M18,'P5'!M18)</f>
        <v>71.377079482439896</v>
      </c>
      <c r="O33">
        <f>MEDIAN('P1'!N18,'P2'!N18,'P3'!N18,'P4'!N18,'P5'!N18)</f>
        <v>62.938415065830696</v>
      </c>
      <c r="P33">
        <f>MEDIAN('P1'!O18,'P2'!O18,'P3'!O18,'P4'!O18,'P5'!O18)</f>
        <v>71.377079482439896</v>
      </c>
      <c r="Q33">
        <f>MEDIAN('P1'!P18,'P2'!P18,'P3'!P18,'P4'!P18,'P5'!P18)</f>
        <v>75.353695892591006</v>
      </c>
      <c r="R33">
        <f>MEDIAN('P1'!Q18,'P2'!Q18,'P3'!Q18,'P4'!Q18,'P5'!Q18)</f>
        <v>72.760607647983207</v>
      </c>
      <c r="S33">
        <f>MEDIAN('P1'!R18,'P2'!R18,'P3'!R18,'P4'!R18,'P5'!R18)</f>
        <v>520</v>
      </c>
      <c r="T33">
        <f>MEDIAN('P1'!S18,'P2'!S18,'P3'!S18,'P4'!S18,'P5'!S18)</f>
        <v>27.2393923520168</v>
      </c>
      <c r="U33">
        <f>MEDIAN('P1'!T18,'P2'!T18,'P3'!T18,'P4'!T18,'P5'!T18)</f>
        <v>64.359003783370696</v>
      </c>
      <c r="V33">
        <f>MEDIAN('P1'!U18,'P2'!U18,'P3'!U18,'P4'!U18,'P5'!U18)</f>
        <v>72.760607647983207</v>
      </c>
      <c r="W33">
        <f>MEDIAN('P1'!V18,'P2'!V18,'P3'!V18,'P4'!V18,'P5'!V18)</f>
        <v>86.321091078585994</v>
      </c>
      <c r="X33">
        <f>MEDIAN('P1'!W18,'P2'!W18,'P3'!W18,'P4'!W18,'P5'!W18)</f>
        <v>76.299783315276301</v>
      </c>
      <c r="Y33">
        <f>MEDIAN('P1'!X18,'P2'!X18,'P3'!X18,'P4'!X18,'P5'!X18)</f>
        <v>72.760607647983207</v>
      </c>
      <c r="Z33">
        <f>MEDIAN('P1'!Y18,'P2'!Y18,'P3'!Y18,'P4'!Y18,'P5'!Y18)</f>
        <v>72.760607647983207</v>
      </c>
      <c r="AA33">
        <f>MEDIAN('P1'!Z18,'P2'!Z18,'P3'!Z18,'P4'!Z18,'P5'!Z18)</f>
        <v>64.355579557565093</v>
      </c>
      <c r="AB33">
        <f>MEDIAN('P1'!AA18,'P2'!AA18,'P3'!AA18,'P4'!AA18,'P5'!AA18)</f>
        <v>72.760607647983207</v>
      </c>
      <c r="AC33">
        <f>MEDIAN('P1'!AB18,'P2'!AB18,'P3'!AB18,'P4'!AB18,'P5'!AB18)</f>
        <v>76.514309513606904</v>
      </c>
      <c r="AD33">
        <f>MEDIAN('P1'!AC18,'P2'!AC18,'P3'!AC18,'P4'!AC18,'P5'!AC18)</f>
        <v>17561.3144692571</v>
      </c>
      <c r="AE33">
        <f>MEDIAN('P1'!AD18,'P2'!AD18,'P3'!AD18,'P4'!AD18,'P5'!AD18)</f>
        <v>18.297160999999999</v>
      </c>
      <c r="AF33">
        <f>MEDIAN('P1'!AE18,'P2'!AE18,'P3'!AE18,'P4'!AE18,'P5'!AE18)</f>
        <v>335658</v>
      </c>
      <c r="AG33">
        <f>MEDIAN('P1'!AF18,'P2'!AF18,'P3'!AF18,'P4'!AF18,'P5'!AF18)</f>
        <v>141739</v>
      </c>
      <c r="AH33">
        <f>MEDIAN('P1'!AG18,'P2'!AG18,'P3'!AG18,'P4'!AG18,'P5'!AG18)</f>
        <v>86401.5</v>
      </c>
      <c r="AI33" t="e">
        <f>MEDIAN('P1'!AH18,'P2'!AH18,'P3'!AH18,'P4'!AH18,'P5'!AH18)</f>
        <v>#NUM!</v>
      </c>
    </row>
  </sheetData>
  <sortState xmlns:xlrd2="http://schemas.microsoft.com/office/spreadsheetml/2017/richdata2" ref="A10:AM33">
    <sortCondition ref="B10:B33"/>
  </sortState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EE60-5288-45C6-A3B4-B54F04F09518}">
  <dimension ref="A1:AL33"/>
  <sheetViews>
    <sheetView workbookViewId="0">
      <selection activeCell="G20" sqref="G20"/>
    </sheetView>
  </sheetViews>
  <sheetFormatPr baseColWidth="10" defaultColWidth="8.83203125" defaultRowHeight="16" x14ac:dyDescent="0.2"/>
  <sheetData>
    <row r="1" spans="1:38" x14ac:dyDescent="0.2">
      <c r="A1" t="s">
        <v>0</v>
      </c>
    </row>
    <row r="2" spans="1:38" x14ac:dyDescent="0.2">
      <c r="A2" t="s">
        <v>115</v>
      </c>
    </row>
    <row r="3" spans="1:38" x14ac:dyDescent="0.2">
      <c r="A3" t="s">
        <v>116</v>
      </c>
    </row>
    <row r="4" spans="1:38" x14ac:dyDescent="0.2">
      <c r="A4" t="s">
        <v>117</v>
      </c>
    </row>
    <row r="5" spans="1:38" x14ac:dyDescent="0.2">
      <c r="A5" t="s">
        <v>4</v>
      </c>
    </row>
    <row r="6" spans="1:38" x14ac:dyDescent="0.2">
      <c r="A6" t="s">
        <v>118</v>
      </c>
    </row>
    <row r="9" spans="1:38" x14ac:dyDescent="0.2">
      <c r="A9" t="s">
        <v>6</v>
      </c>
      <c r="B9" t="s">
        <v>7</v>
      </c>
      <c r="C9" t="s">
        <v>9</v>
      </c>
      <c r="D9" t="s">
        <v>8</v>
      </c>
      <c r="E9" t="s">
        <v>10</v>
      </c>
      <c r="F9" t="s">
        <v>11</v>
      </c>
      <c r="G9" t="s">
        <v>22</v>
      </c>
      <c r="H9" t="s">
        <v>23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  <c r="Q9" t="s">
        <v>20</v>
      </c>
      <c r="R9" t="s">
        <v>21</v>
      </c>
      <c r="S9" t="s">
        <v>24</v>
      </c>
      <c r="T9" t="s">
        <v>25</v>
      </c>
      <c r="U9" t="s">
        <v>26</v>
      </c>
      <c r="V9" t="s">
        <v>27</v>
      </c>
      <c r="W9" t="s">
        <v>28</v>
      </c>
      <c r="X9" t="s">
        <v>29</v>
      </c>
      <c r="Y9" t="s">
        <v>30</v>
      </c>
      <c r="Z9" t="s">
        <v>31</v>
      </c>
      <c r="AA9" t="s">
        <v>32</v>
      </c>
      <c r="AB9" t="s">
        <v>33</v>
      </c>
      <c r="AC9" t="s">
        <v>34</v>
      </c>
      <c r="AD9" t="s">
        <v>35</v>
      </c>
      <c r="AE9" t="s">
        <v>36</v>
      </c>
      <c r="AF9" t="s">
        <v>37</v>
      </c>
      <c r="AG9" t="s">
        <v>38</v>
      </c>
      <c r="AH9" t="s">
        <v>39</v>
      </c>
      <c r="AI9" t="s">
        <v>40</v>
      </c>
      <c r="AJ9" t="s">
        <v>41</v>
      </c>
      <c r="AK9" t="s">
        <v>42</v>
      </c>
      <c r="AL9" t="s">
        <v>43</v>
      </c>
    </row>
    <row r="10" spans="1:38" x14ac:dyDescent="0.2">
      <c r="A10">
        <v>0</v>
      </c>
      <c r="B10">
        <v>2.1</v>
      </c>
      <c r="C10" t="s">
        <v>45</v>
      </c>
      <c r="D10" t="s">
        <v>44</v>
      </c>
      <c r="E10">
        <v>84.679000000000002</v>
      </c>
      <c r="F10">
        <v>1610</v>
      </c>
      <c r="G10">
        <v>84.389732844421204</v>
      </c>
      <c r="H10">
        <v>298</v>
      </c>
      <c r="I10">
        <v>14.879852125693199</v>
      </c>
      <c r="J10">
        <v>68.886980291595094</v>
      </c>
      <c r="K10">
        <v>85.120147874306795</v>
      </c>
      <c r="L10">
        <v>82.049570060839102</v>
      </c>
      <c r="M10">
        <v>59.324640565006597</v>
      </c>
      <c r="N10">
        <v>85.120147874306795</v>
      </c>
      <c r="O10">
        <v>85.120147874306795</v>
      </c>
      <c r="P10">
        <v>61.398310001073398</v>
      </c>
      <c r="Q10">
        <v>85.120147874306795</v>
      </c>
      <c r="R10">
        <v>82.6422478087934</v>
      </c>
      <c r="S10">
        <v>15.6102671555788</v>
      </c>
      <c r="T10">
        <v>66.971807390388705</v>
      </c>
      <c r="U10">
        <v>84.389732844421204</v>
      </c>
      <c r="V10">
        <v>81.820782618524404</v>
      </c>
      <c r="W10">
        <v>60.756338028168997</v>
      </c>
      <c r="X10">
        <v>84.389732844421204</v>
      </c>
      <c r="Y10">
        <v>84.389732844421204</v>
      </c>
      <c r="Z10">
        <v>62.608779097587004</v>
      </c>
      <c r="AA10">
        <v>84.389732844421204</v>
      </c>
      <c r="AB10">
        <v>82.655628084892797</v>
      </c>
      <c r="AC10">
        <v>44539.212619169099</v>
      </c>
      <c r="AD10">
        <v>9.35412</v>
      </c>
      <c r="AE10">
        <v>35466</v>
      </c>
      <c r="AF10">
        <v>27593</v>
      </c>
      <c r="AG10" t="s">
        <v>46</v>
      </c>
      <c r="AH10" t="s">
        <v>119</v>
      </c>
      <c r="AI10" t="s">
        <v>47</v>
      </c>
      <c r="AJ10" t="s">
        <v>48</v>
      </c>
      <c r="AK10" t="s">
        <v>49</v>
      </c>
      <c r="AL10" t="s">
        <v>50</v>
      </c>
    </row>
    <row r="11" spans="1:38" x14ac:dyDescent="0.2">
      <c r="A11">
        <v>0</v>
      </c>
      <c r="B11">
        <v>2.1</v>
      </c>
      <c r="C11" t="s">
        <v>51</v>
      </c>
      <c r="D11" t="s">
        <v>44</v>
      </c>
      <c r="E11">
        <v>85.970425138632194</v>
      </c>
      <c r="F11">
        <v>1518</v>
      </c>
      <c r="G11">
        <v>85.961236249345205</v>
      </c>
      <c r="H11">
        <v>268</v>
      </c>
      <c r="I11">
        <v>14.0295748613678</v>
      </c>
      <c r="J11">
        <v>75.964882180124604</v>
      </c>
      <c r="K11">
        <v>85.970425138632194</v>
      </c>
      <c r="L11">
        <v>83.410229389452894</v>
      </c>
      <c r="M11">
        <v>55.627887498841197</v>
      </c>
      <c r="N11">
        <v>85.970425138632194</v>
      </c>
      <c r="O11">
        <v>85.970425138632194</v>
      </c>
      <c r="P11">
        <v>56.579034608165102</v>
      </c>
      <c r="Q11">
        <v>85.970425138632194</v>
      </c>
      <c r="R11">
        <v>81.658455240543006</v>
      </c>
      <c r="S11">
        <v>14.0387637506548</v>
      </c>
      <c r="T11">
        <v>76.249058633673997</v>
      </c>
      <c r="U11">
        <v>85.961236249345205</v>
      </c>
      <c r="V11">
        <v>83.448633085091998</v>
      </c>
      <c r="W11">
        <v>55.286782231852698</v>
      </c>
      <c r="X11">
        <v>85.961236249345205</v>
      </c>
      <c r="Y11">
        <v>85.961236249345205</v>
      </c>
      <c r="Z11">
        <v>56.034085674804203</v>
      </c>
      <c r="AA11">
        <v>85.961236249345205</v>
      </c>
      <c r="AB11">
        <v>81.514916735413394</v>
      </c>
      <c r="AC11">
        <v>9370.5371950570006</v>
      </c>
      <c r="AD11">
        <v>83.945226000000005</v>
      </c>
      <c r="AE11">
        <v>835902</v>
      </c>
      <c r="AF11">
        <v>835597</v>
      </c>
      <c r="AG11" t="s">
        <v>53</v>
      </c>
      <c r="AH11" t="s">
        <v>119</v>
      </c>
      <c r="AI11" t="s">
        <v>47</v>
      </c>
      <c r="AJ11" t="s">
        <v>48</v>
      </c>
      <c r="AK11" t="s">
        <v>49</v>
      </c>
      <c r="AL11" t="s">
        <v>50</v>
      </c>
    </row>
    <row r="12" spans="1:38" x14ac:dyDescent="0.2">
      <c r="A12">
        <v>0</v>
      </c>
      <c r="B12">
        <v>2.11</v>
      </c>
      <c r="C12" t="s">
        <v>51</v>
      </c>
      <c r="D12" t="s">
        <v>44</v>
      </c>
      <c r="E12">
        <v>83.299445471349401</v>
      </c>
      <c r="F12">
        <v>1807</v>
      </c>
      <c r="G12">
        <v>84.494499738082794</v>
      </c>
      <c r="H12">
        <v>296</v>
      </c>
      <c r="I12">
        <v>16.700554528650599</v>
      </c>
      <c r="J12">
        <v>64.488643892362205</v>
      </c>
      <c r="K12">
        <v>83.299445471349401</v>
      </c>
      <c r="L12">
        <v>80.992091431515206</v>
      </c>
      <c r="M12">
        <v>60.2763159880393</v>
      </c>
      <c r="N12">
        <v>83.299445471349401</v>
      </c>
      <c r="O12">
        <v>83.299445471349301</v>
      </c>
      <c r="P12">
        <v>61.681490755644496</v>
      </c>
      <c r="Q12">
        <v>83.299445471349401</v>
      </c>
      <c r="R12">
        <v>81.886976669326501</v>
      </c>
      <c r="S12">
        <v>15.5055002619172</v>
      </c>
      <c r="T12">
        <v>67.670323703967199</v>
      </c>
      <c r="U12">
        <v>84.494499738082794</v>
      </c>
      <c r="V12">
        <v>82.349061545053104</v>
      </c>
      <c r="W12">
        <v>62.270747562296897</v>
      </c>
      <c r="X12">
        <v>84.494499738082794</v>
      </c>
      <c r="Y12">
        <v>84.494499738082794</v>
      </c>
      <c r="Z12">
        <v>64.090088716032398</v>
      </c>
      <c r="AA12">
        <v>84.494499738082794</v>
      </c>
      <c r="AB12">
        <v>83.104901211216202</v>
      </c>
      <c r="AC12">
        <v>9956.2642109108492</v>
      </c>
      <c r="AD12">
        <v>92.075372999999999</v>
      </c>
      <c r="AE12">
        <v>916502</v>
      </c>
      <c r="AF12">
        <v>916197</v>
      </c>
      <c r="AG12" t="s">
        <v>54</v>
      </c>
      <c r="AH12" t="s">
        <v>119</v>
      </c>
      <c r="AI12" t="s">
        <v>47</v>
      </c>
      <c r="AJ12" t="s">
        <v>48</v>
      </c>
      <c r="AK12" t="s">
        <v>49</v>
      </c>
      <c r="AL12" t="s">
        <v>50</v>
      </c>
    </row>
    <row r="13" spans="1:38" x14ac:dyDescent="0.2">
      <c r="A13">
        <v>0</v>
      </c>
      <c r="B13">
        <v>2.12</v>
      </c>
      <c r="C13" t="s">
        <v>51</v>
      </c>
      <c r="D13" t="s">
        <v>44</v>
      </c>
      <c r="E13">
        <v>85.101663585951897</v>
      </c>
      <c r="F13">
        <v>1612</v>
      </c>
      <c r="G13">
        <v>85.123101100052395</v>
      </c>
      <c r="H13">
        <v>284</v>
      </c>
      <c r="I13">
        <v>14.898336414048099</v>
      </c>
      <c r="J13" t="s">
        <v>52</v>
      </c>
      <c r="K13">
        <v>85.101663585951897</v>
      </c>
      <c r="L13" t="s">
        <v>52</v>
      </c>
      <c r="M13">
        <v>50</v>
      </c>
      <c r="N13">
        <v>85.101663585951897</v>
      </c>
      <c r="O13">
        <v>85.101663585951897</v>
      </c>
      <c r="P13">
        <v>45.975634112242901</v>
      </c>
      <c r="Q13">
        <v>85.101663585951897</v>
      </c>
      <c r="R13">
        <v>78.252058947418206</v>
      </c>
      <c r="S13">
        <v>14.8768988999476</v>
      </c>
      <c r="T13" t="s">
        <v>52</v>
      </c>
      <c r="U13">
        <v>85.123101100052395</v>
      </c>
      <c r="V13" t="s">
        <v>52</v>
      </c>
      <c r="W13">
        <v>50</v>
      </c>
      <c r="X13">
        <v>85.123101100052395</v>
      </c>
      <c r="Y13">
        <v>85.123101100052395</v>
      </c>
      <c r="Z13">
        <v>45.9818902093945</v>
      </c>
      <c r="AA13">
        <v>85.123101100052395</v>
      </c>
      <c r="AB13">
        <v>78.282421781315904</v>
      </c>
      <c r="AC13">
        <v>4669.8840815650101</v>
      </c>
      <c r="AD13">
        <v>63.216796000000002</v>
      </c>
      <c r="AE13">
        <v>2691930</v>
      </c>
      <c r="AF13">
        <v>2691629</v>
      </c>
      <c r="AG13" t="s">
        <v>120</v>
      </c>
      <c r="AH13" t="s">
        <v>119</v>
      </c>
      <c r="AI13" t="s">
        <v>47</v>
      </c>
      <c r="AJ13" t="s">
        <v>48</v>
      </c>
      <c r="AK13" t="s">
        <v>49</v>
      </c>
      <c r="AL13" t="s">
        <v>50</v>
      </c>
    </row>
    <row r="14" spans="1:38" x14ac:dyDescent="0.2">
      <c r="A14">
        <v>0</v>
      </c>
      <c r="B14">
        <v>2.13</v>
      </c>
      <c r="C14" t="s">
        <v>51</v>
      </c>
      <c r="D14" t="s">
        <v>44</v>
      </c>
      <c r="E14">
        <v>85.748613678373403</v>
      </c>
      <c r="F14">
        <v>1542</v>
      </c>
      <c r="G14">
        <v>85.908852802514403</v>
      </c>
      <c r="H14">
        <v>269</v>
      </c>
      <c r="I14">
        <v>14.251386321626599</v>
      </c>
      <c r="J14">
        <v>76.712904856128901</v>
      </c>
      <c r="K14">
        <v>85.748613678373403</v>
      </c>
      <c r="L14">
        <v>83.302310022581395</v>
      </c>
      <c r="M14">
        <v>53.8599782689775</v>
      </c>
      <c r="N14">
        <v>85.748613678373403</v>
      </c>
      <c r="O14">
        <v>85.748613678373403</v>
      </c>
      <c r="P14">
        <v>53.6084108146609</v>
      </c>
      <c r="Q14">
        <v>85.748613678373403</v>
      </c>
      <c r="R14">
        <v>80.716669858938005</v>
      </c>
      <c r="S14">
        <v>14.091147197485601</v>
      </c>
      <c r="T14">
        <v>75.878867676102701</v>
      </c>
      <c r="U14">
        <v>85.908852802514403</v>
      </c>
      <c r="V14">
        <v>83.305819666449494</v>
      </c>
      <c r="W14">
        <v>55.110725893824501</v>
      </c>
      <c r="X14">
        <v>85.908852802514403</v>
      </c>
      <c r="Y14">
        <v>85.908852802514403</v>
      </c>
      <c r="Z14">
        <v>55.750212192105998</v>
      </c>
      <c r="AA14">
        <v>85.908852802514403</v>
      </c>
      <c r="AB14">
        <v>81.411847381546096</v>
      </c>
      <c r="AC14">
        <v>6204.7047948261297</v>
      </c>
      <c r="AD14">
        <v>48.171399999999998</v>
      </c>
      <c r="AE14">
        <v>1041242</v>
      </c>
      <c r="AF14">
        <v>1040941</v>
      </c>
      <c r="AG14" t="s">
        <v>121</v>
      </c>
      <c r="AH14" t="s">
        <v>119</v>
      </c>
      <c r="AI14" t="s">
        <v>47</v>
      </c>
      <c r="AJ14" t="s">
        <v>48</v>
      </c>
      <c r="AK14" t="s">
        <v>49</v>
      </c>
      <c r="AL14" t="s">
        <v>50</v>
      </c>
    </row>
    <row r="15" spans="1:38" x14ac:dyDescent="0.2">
      <c r="A15">
        <v>0</v>
      </c>
      <c r="B15">
        <v>2.14</v>
      </c>
      <c r="C15" t="s">
        <v>51</v>
      </c>
      <c r="D15" t="s">
        <v>44</v>
      </c>
      <c r="E15">
        <v>85.101663585951897</v>
      </c>
      <c r="F15">
        <v>1612</v>
      </c>
      <c r="G15">
        <v>85.123101100052395</v>
      </c>
      <c r="H15">
        <v>284</v>
      </c>
      <c r="I15">
        <v>14.898336414048099</v>
      </c>
      <c r="J15" t="s">
        <v>52</v>
      </c>
      <c r="K15">
        <v>85.101663585951897</v>
      </c>
      <c r="L15" t="s">
        <v>52</v>
      </c>
      <c r="M15">
        <v>50</v>
      </c>
      <c r="N15">
        <v>85.101663585951897</v>
      </c>
      <c r="O15">
        <v>85.101663585951897</v>
      </c>
      <c r="P15">
        <v>45.975634112242901</v>
      </c>
      <c r="Q15">
        <v>85.101663585951897</v>
      </c>
      <c r="R15">
        <v>78.252058947418206</v>
      </c>
      <c r="S15">
        <v>14.8768988999476</v>
      </c>
      <c r="T15" t="s">
        <v>52</v>
      </c>
      <c r="U15">
        <v>85.123101100052395</v>
      </c>
      <c r="V15" t="s">
        <v>52</v>
      </c>
      <c r="W15">
        <v>50</v>
      </c>
      <c r="X15">
        <v>85.123101100052395</v>
      </c>
      <c r="Y15">
        <v>85.123101100052395</v>
      </c>
      <c r="Z15">
        <v>45.9818902093945</v>
      </c>
      <c r="AA15">
        <v>85.123101100052395</v>
      </c>
      <c r="AB15">
        <v>78.282421781315904</v>
      </c>
      <c r="AC15">
        <v>7058.8388797192101</v>
      </c>
      <c r="AD15">
        <v>46.700001999999998</v>
      </c>
      <c r="AE15">
        <v>858962</v>
      </c>
      <c r="AF15">
        <v>858661</v>
      </c>
      <c r="AG15" t="s">
        <v>122</v>
      </c>
      <c r="AH15" t="s">
        <v>119</v>
      </c>
      <c r="AI15" t="s">
        <v>47</v>
      </c>
      <c r="AJ15" t="s">
        <v>48</v>
      </c>
      <c r="AK15" t="s">
        <v>49</v>
      </c>
      <c r="AL15" t="s">
        <v>50</v>
      </c>
    </row>
    <row r="16" spans="1:38" x14ac:dyDescent="0.2">
      <c r="A16">
        <v>0</v>
      </c>
      <c r="B16">
        <v>2.15</v>
      </c>
      <c r="C16" t="s">
        <v>58</v>
      </c>
      <c r="D16" t="s">
        <v>44</v>
      </c>
      <c r="E16">
        <v>86.432532347504605</v>
      </c>
      <c r="F16">
        <v>1468</v>
      </c>
      <c r="G16">
        <v>86.904138292299606</v>
      </c>
      <c r="H16">
        <v>250</v>
      </c>
      <c r="I16">
        <v>13.567467652495401</v>
      </c>
      <c r="J16">
        <v>75.510745670963601</v>
      </c>
      <c r="K16">
        <v>86.432532347504605</v>
      </c>
      <c r="L16">
        <v>84.024897107232604</v>
      </c>
      <c r="M16">
        <v>59.507201096036901</v>
      </c>
      <c r="N16">
        <v>86.432532347504605</v>
      </c>
      <c r="O16">
        <v>86.432532347504605</v>
      </c>
      <c r="P16">
        <v>62.0944312527593</v>
      </c>
      <c r="Q16">
        <v>86.432532347504605</v>
      </c>
      <c r="R16">
        <v>83.417639547532701</v>
      </c>
      <c r="S16">
        <v>13.095861707700401</v>
      </c>
      <c r="T16">
        <v>76.396577993545904</v>
      </c>
      <c r="U16">
        <v>86.904138292299606</v>
      </c>
      <c r="V16">
        <v>84.818955973598904</v>
      </c>
      <c r="W16">
        <v>62.087973997833103</v>
      </c>
      <c r="X16">
        <v>86.904138292299606</v>
      </c>
      <c r="Y16">
        <v>86.904138292299606</v>
      </c>
      <c r="Z16">
        <v>65.246222051335806</v>
      </c>
      <c r="AA16">
        <v>86.904138292299606</v>
      </c>
      <c r="AB16">
        <v>84.518462050760107</v>
      </c>
      <c r="AC16">
        <v>8105.9375618059003</v>
      </c>
      <c r="AD16">
        <v>44.554040000000001</v>
      </c>
      <c r="AE16">
        <v>392481</v>
      </c>
      <c r="AF16">
        <v>193614</v>
      </c>
      <c r="AG16" t="s">
        <v>59</v>
      </c>
      <c r="AH16" t="s">
        <v>119</v>
      </c>
      <c r="AI16" t="s">
        <v>47</v>
      </c>
      <c r="AJ16" t="s">
        <v>48</v>
      </c>
      <c r="AK16" t="s">
        <v>49</v>
      </c>
      <c r="AL16" t="s">
        <v>50</v>
      </c>
    </row>
    <row r="17" spans="1:38" x14ac:dyDescent="0.2">
      <c r="A17">
        <v>0</v>
      </c>
      <c r="B17">
        <v>2.16</v>
      </c>
      <c r="C17" t="s">
        <v>58</v>
      </c>
      <c r="D17" t="s">
        <v>44</v>
      </c>
      <c r="E17">
        <v>86.275415896487999</v>
      </c>
      <c r="F17">
        <v>1485</v>
      </c>
      <c r="G17">
        <v>85.437401781037195</v>
      </c>
      <c r="H17">
        <v>278</v>
      </c>
      <c r="I17">
        <v>13.724584103512001</v>
      </c>
      <c r="J17">
        <v>74.018205002452206</v>
      </c>
      <c r="K17">
        <v>86.275415896487999</v>
      </c>
      <c r="L17">
        <v>83.747126000476797</v>
      </c>
      <c r="M17">
        <v>60.310445874016096</v>
      </c>
      <c r="N17">
        <v>86.275415896487999</v>
      </c>
      <c r="O17">
        <v>86.275415896487999</v>
      </c>
      <c r="P17">
        <v>62.9814974761494</v>
      </c>
      <c r="Q17">
        <v>86.275415896487999</v>
      </c>
      <c r="R17">
        <v>83.5967374063477</v>
      </c>
      <c r="S17">
        <v>14.562598218962799</v>
      </c>
      <c r="T17">
        <v>70.079791900617593</v>
      </c>
      <c r="U17">
        <v>85.437401781037195</v>
      </c>
      <c r="V17">
        <v>82.538687756420799</v>
      </c>
      <c r="W17">
        <v>59.9188515709643</v>
      </c>
      <c r="X17">
        <v>85.437401781037195</v>
      </c>
      <c r="Y17">
        <v>85.437401781037195</v>
      </c>
      <c r="Z17">
        <v>62.181102451983598</v>
      </c>
      <c r="AA17">
        <v>85.437401781037195</v>
      </c>
      <c r="AB17">
        <v>83.013899646546605</v>
      </c>
      <c r="AC17">
        <v>14352.854719131101</v>
      </c>
      <c r="AD17">
        <v>63.248679000000003</v>
      </c>
      <c r="AE17">
        <v>5526377</v>
      </c>
      <c r="AF17">
        <v>4062030</v>
      </c>
      <c r="AG17" t="s">
        <v>60</v>
      </c>
      <c r="AH17" t="s">
        <v>119</v>
      </c>
      <c r="AI17" t="s">
        <v>47</v>
      </c>
      <c r="AJ17" t="s">
        <v>48</v>
      </c>
      <c r="AK17" t="s">
        <v>49</v>
      </c>
      <c r="AL17" t="s">
        <v>50</v>
      </c>
    </row>
    <row r="18" spans="1:38" x14ac:dyDescent="0.2">
      <c r="A18">
        <v>0</v>
      </c>
      <c r="B18">
        <v>2.17</v>
      </c>
      <c r="C18" t="s">
        <v>58</v>
      </c>
      <c r="D18" t="s">
        <v>44</v>
      </c>
      <c r="E18">
        <v>72.800369685767095</v>
      </c>
      <c r="F18">
        <v>2943</v>
      </c>
      <c r="G18">
        <v>72.812991094813995</v>
      </c>
      <c r="H18">
        <v>519</v>
      </c>
      <c r="I18">
        <v>27.199630314232898</v>
      </c>
      <c r="J18">
        <v>63.910455590038701</v>
      </c>
      <c r="K18">
        <v>72.800369685767095</v>
      </c>
      <c r="L18">
        <v>85.7641084933244</v>
      </c>
      <c r="M18">
        <v>75.191709442431105</v>
      </c>
      <c r="N18">
        <v>72.800369685767095</v>
      </c>
      <c r="O18">
        <v>72.800369685767095</v>
      </c>
      <c r="P18">
        <v>64.028975354022705</v>
      </c>
      <c r="Q18">
        <v>72.800369685767095</v>
      </c>
      <c r="R18">
        <v>76.499031753785104</v>
      </c>
      <c r="S18">
        <v>27.187008905186001</v>
      </c>
      <c r="T18">
        <v>64.384550004498294</v>
      </c>
      <c r="U18">
        <v>72.812991094813995</v>
      </c>
      <c r="V18">
        <v>86.331228649378701</v>
      </c>
      <c r="W18">
        <v>76.330552546045496</v>
      </c>
      <c r="X18">
        <v>72.812991094813995</v>
      </c>
      <c r="Y18">
        <v>72.812991094813995</v>
      </c>
      <c r="Z18">
        <v>64.400414358536594</v>
      </c>
      <c r="AA18">
        <v>72.812991094813995</v>
      </c>
      <c r="AB18">
        <v>76.556950353523703</v>
      </c>
      <c r="AC18">
        <v>24019.250919036</v>
      </c>
      <c r="AD18">
        <v>42.58146</v>
      </c>
      <c r="AE18">
        <v>370293</v>
      </c>
      <c r="AF18">
        <v>174274</v>
      </c>
      <c r="AG18" t="s">
        <v>61</v>
      </c>
      <c r="AH18" t="s">
        <v>119</v>
      </c>
      <c r="AI18" t="s">
        <v>47</v>
      </c>
      <c r="AJ18" t="s">
        <v>48</v>
      </c>
      <c r="AK18" t="s">
        <v>49</v>
      </c>
      <c r="AL18" t="s">
        <v>50</v>
      </c>
    </row>
    <row r="19" spans="1:38" x14ac:dyDescent="0.2">
      <c r="A19">
        <v>0</v>
      </c>
      <c r="B19">
        <v>2.1800000000000002</v>
      </c>
      <c r="C19" t="s">
        <v>62</v>
      </c>
      <c r="D19" t="s">
        <v>44</v>
      </c>
      <c r="E19">
        <v>84.815157116451005</v>
      </c>
      <c r="F19">
        <v>1643</v>
      </c>
      <c r="G19">
        <v>85.594552121529603</v>
      </c>
      <c r="H19">
        <v>275</v>
      </c>
      <c r="I19">
        <v>15.184842883549001</v>
      </c>
      <c r="J19">
        <v>68.206786849172005</v>
      </c>
      <c r="K19">
        <v>84.815157116451005</v>
      </c>
      <c r="L19">
        <v>82.196272383686406</v>
      </c>
      <c r="M19">
        <v>60.962147490692097</v>
      </c>
      <c r="N19">
        <v>84.815157116451005</v>
      </c>
      <c r="O19">
        <v>84.815157116451005</v>
      </c>
      <c r="P19">
        <v>63.015012373260298</v>
      </c>
      <c r="Q19">
        <v>84.815157116451005</v>
      </c>
      <c r="R19">
        <v>82.949272571800904</v>
      </c>
      <c r="S19">
        <v>14.405447878470399</v>
      </c>
      <c r="T19">
        <v>70.696819649245299</v>
      </c>
      <c r="U19">
        <v>85.594552121529603</v>
      </c>
      <c r="V19">
        <v>83.222123251335105</v>
      </c>
      <c r="W19">
        <v>62.335752979414899</v>
      </c>
      <c r="X19">
        <v>85.594552121529603</v>
      </c>
      <c r="Y19">
        <v>85.594552121529603</v>
      </c>
      <c r="Z19">
        <v>64.749200440219496</v>
      </c>
      <c r="AA19">
        <v>85.594552121529603</v>
      </c>
      <c r="AB19">
        <v>83.791173604141093</v>
      </c>
      <c r="AC19">
        <v>82928.399527875299</v>
      </c>
      <c r="AD19">
        <v>60.768580999999998</v>
      </c>
      <c r="AE19">
        <v>12295</v>
      </c>
      <c r="AF19">
        <v>11529</v>
      </c>
      <c r="AG19" t="s">
        <v>63</v>
      </c>
      <c r="AH19" t="s">
        <v>119</v>
      </c>
      <c r="AI19" t="s">
        <v>47</v>
      </c>
      <c r="AJ19" t="s">
        <v>48</v>
      </c>
      <c r="AK19" t="s">
        <v>49</v>
      </c>
      <c r="AL19" t="s">
        <v>50</v>
      </c>
    </row>
    <row r="20" spans="1:38" x14ac:dyDescent="0.2">
      <c r="A20">
        <v>0</v>
      </c>
      <c r="B20">
        <v>2.19</v>
      </c>
      <c r="C20" t="s">
        <v>62</v>
      </c>
      <c r="D20" t="s">
        <v>44</v>
      </c>
      <c r="E20">
        <v>82.643253234750503</v>
      </c>
      <c r="F20">
        <v>1878</v>
      </c>
      <c r="G20">
        <v>82.922996333158693</v>
      </c>
      <c r="H20">
        <v>326</v>
      </c>
      <c r="I20">
        <v>17.3567467652495</v>
      </c>
      <c r="J20">
        <v>63.828380355276899</v>
      </c>
      <c r="K20">
        <v>82.643253234750503</v>
      </c>
      <c r="L20">
        <v>81.005997469757801</v>
      </c>
      <c r="M20">
        <v>61.144559806662897</v>
      </c>
      <c r="N20">
        <v>82.643253234750503</v>
      </c>
      <c r="O20">
        <v>82.643253234750404</v>
      </c>
      <c r="P20">
        <v>62.190243143265199</v>
      </c>
      <c r="Q20">
        <v>82.643253234750503</v>
      </c>
      <c r="R20">
        <v>81.712870016213401</v>
      </c>
      <c r="S20">
        <v>17.0770036668413</v>
      </c>
      <c r="T20">
        <v>64.320814464789606</v>
      </c>
      <c r="U20">
        <v>82.922996333158693</v>
      </c>
      <c r="V20">
        <v>81.210134630993394</v>
      </c>
      <c r="W20">
        <v>61.347670639219899</v>
      </c>
      <c r="X20">
        <v>82.922996333158693</v>
      </c>
      <c r="Y20">
        <v>82.922996333158693</v>
      </c>
      <c r="Z20">
        <v>62.487402049427402</v>
      </c>
      <c r="AA20">
        <v>82.922996333158693</v>
      </c>
      <c r="AB20">
        <v>81.936750477024106</v>
      </c>
      <c r="AC20">
        <v>46205.156017132598</v>
      </c>
      <c r="AD20">
        <v>76.791628000000003</v>
      </c>
      <c r="AE20">
        <v>16135</v>
      </c>
      <c r="AF20">
        <v>15369</v>
      </c>
      <c r="AG20" t="s">
        <v>64</v>
      </c>
      <c r="AH20" t="s">
        <v>119</v>
      </c>
      <c r="AI20" t="s">
        <v>47</v>
      </c>
      <c r="AJ20" t="s">
        <v>48</v>
      </c>
      <c r="AK20" t="s">
        <v>49</v>
      </c>
      <c r="AL20" t="s">
        <v>50</v>
      </c>
    </row>
    <row r="21" spans="1:38" x14ac:dyDescent="0.2">
      <c r="A21">
        <v>0</v>
      </c>
      <c r="B21">
        <v>2.2000000000000002</v>
      </c>
      <c r="C21" t="s">
        <v>45</v>
      </c>
      <c r="D21" t="s">
        <v>44</v>
      </c>
      <c r="E21">
        <v>85.7024029574861</v>
      </c>
      <c r="F21">
        <v>1547</v>
      </c>
      <c r="G21">
        <v>85.437401781037195</v>
      </c>
      <c r="H21">
        <v>278</v>
      </c>
      <c r="I21">
        <v>14.2975970425139</v>
      </c>
      <c r="J21">
        <v>71.565586774900794</v>
      </c>
      <c r="K21">
        <v>85.7024029574861</v>
      </c>
      <c r="L21">
        <v>82.638308544638704</v>
      </c>
      <c r="M21">
        <v>58.361781642028802</v>
      </c>
      <c r="N21">
        <v>85.7024029574861</v>
      </c>
      <c r="O21">
        <v>85.7024029574861</v>
      </c>
      <c r="P21">
        <v>60.430658834279598</v>
      </c>
      <c r="Q21">
        <v>85.7024029574861</v>
      </c>
      <c r="R21">
        <v>82.630747692829004</v>
      </c>
      <c r="S21">
        <v>14.562598218962799</v>
      </c>
      <c r="T21">
        <v>70.098817387598601</v>
      </c>
      <c r="U21">
        <v>85.437401781037195</v>
      </c>
      <c r="V21">
        <v>82.191140533748595</v>
      </c>
      <c r="W21">
        <v>58.175406283857001</v>
      </c>
      <c r="X21">
        <v>85.437401781037195</v>
      </c>
      <c r="Y21">
        <v>85.437401781037195</v>
      </c>
      <c r="Z21">
        <v>60.122779597848002</v>
      </c>
      <c r="AA21">
        <v>85.437401781037195</v>
      </c>
      <c r="AB21">
        <v>82.441588504920105</v>
      </c>
      <c r="AC21">
        <v>45183.678753231099</v>
      </c>
      <c r="AD21">
        <v>41.207779000000002</v>
      </c>
      <c r="AE21">
        <v>12374</v>
      </c>
      <c r="AF21">
        <v>9357</v>
      </c>
      <c r="AG21" t="s">
        <v>65</v>
      </c>
      <c r="AH21" t="s">
        <v>119</v>
      </c>
      <c r="AI21" t="s">
        <v>47</v>
      </c>
      <c r="AJ21" t="s">
        <v>48</v>
      </c>
      <c r="AK21" t="s">
        <v>49</v>
      </c>
      <c r="AL21" t="s">
        <v>50</v>
      </c>
    </row>
    <row r="22" spans="1:38" x14ac:dyDescent="0.2">
      <c r="A22">
        <v>0</v>
      </c>
      <c r="B22">
        <v>2.2000000000000002</v>
      </c>
      <c r="C22" t="s">
        <v>62</v>
      </c>
      <c r="D22" t="s">
        <v>44</v>
      </c>
      <c r="E22">
        <v>79.676524953789297</v>
      </c>
      <c r="F22">
        <v>2199</v>
      </c>
      <c r="G22">
        <v>79.256155055002594</v>
      </c>
      <c r="H22">
        <v>396</v>
      </c>
      <c r="I22">
        <v>20.323475046210699</v>
      </c>
      <c r="J22">
        <v>60.177119998674897</v>
      </c>
      <c r="K22">
        <v>79.676524953789297</v>
      </c>
      <c r="L22">
        <v>79.847436072917802</v>
      </c>
      <c r="M22">
        <v>60.348240714191803</v>
      </c>
      <c r="N22">
        <v>79.676524953789297</v>
      </c>
      <c r="O22">
        <v>79.676524953789297</v>
      </c>
      <c r="P22">
        <v>60.260870969629302</v>
      </c>
      <c r="Q22">
        <v>79.676524953789297</v>
      </c>
      <c r="R22">
        <v>79.761242206397696</v>
      </c>
      <c r="S22">
        <v>20.743844944997399</v>
      </c>
      <c r="T22">
        <v>60.742882735522102</v>
      </c>
      <c r="U22">
        <v>79.256155055002594</v>
      </c>
      <c r="V22">
        <v>80.430668762820602</v>
      </c>
      <c r="W22">
        <v>61.9542795232936</v>
      </c>
      <c r="X22">
        <v>79.256155055002594</v>
      </c>
      <c r="Y22">
        <v>79.256155055002594</v>
      </c>
      <c r="Z22">
        <v>61.265986227250401</v>
      </c>
      <c r="AA22">
        <v>79.256155055002594</v>
      </c>
      <c r="AB22">
        <v>79.809273235717498</v>
      </c>
      <c r="AC22">
        <v>45462.375892335702</v>
      </c>
      <c r="AD22">
        <v>86.574011999999996</v>
      </c>
      <c r="AE22">
        <v>35335</v>
      </c>
      <c r="AF22">
        <v>34569</v>
      </c>
      <c r="AG22" t="s">
        <v>66</v>
      </c>
      <c r="AH22" t="s">
        <v>119</v>
      </c>
      <c r="AI22" t="s">
        <v>47</v>
      </c>
      <c r="AJ22" t="s">
        <v>48</v>
      </c>
      <c r="AK22" t="s">
        <v>49</v>
      </c>
      <c r="AL22" t="s">
        <v>50</v>
      </c>
    </row>
    <row r="23" spans="1:38" x14ac:dyDescent="0.2">
      <c r="A23">
        <v>0</v>
      </c>
      <c r="B23">
        <v>2.21</v>
      </c>
      <c r="C23" t="s">
        <v>62</v>
      </c>
      <c r="D23" t="s">
        <v>44</v>
      </c>
      <c r="E23">
        <v>84.482439926062895</v>
      </c>
      <c r="F23">
        <v>1679</v>
      </c>
      <c r="G23">
        <v>84.442116291252006</v>
      </c>
      <c r="H23">
        <v>297</v>
      </c>
      <c r="I23">
        <v>15.517560073937201</v>
      </c>
      <c r="J23">
        <v>67.234634192490503</v>
      </c>
      <c r="K23">
        <v>84.482439926062895</v>
      </c>
      <c r="L23">
        <v>81.860034097850601</v>
      </c>
      <c r="M23">
        <v>60.689903374560501</v>
      </c>
      <c r="N23">
        <v>84.482439926062895</v>
      </c>
      <c r="O23">
        <v>84.482439926062796</v>
      </c>
      <c r="P23">
        <v>62.591831247683103</v>
      </c>
      <c r="Q23">
        <v>84.482439926062895</v>
      </c>
      <c r="R23">
        <v>82.681364112365003</v>
      </c>
      <c r="S23">
        <v>15.557883708747999</v>
      </c>
      <c r="T23">
        <v>67.067000278009502</v>
      </c>
      <c r="U23">
        <v>84.442116291252006</v>
      </c>
      <c r="V23">
        <v>81.823194434917795</v>
      </c>
      <c r="W23">
        <v>60.641820151679298</v>
      </c>
      <c r="X23">
        <v>84.442116291252006</v>
      </c>
      <c r="Y23">
        <v>84.442116291251907</v>
      </c>
      <c r="Z23">
        <v>62.518667187596101</v>
      </c>
      <c r="AA23">
        <v>84.442116291252006</v>
      </c>
      <c r="AB23">
        <v>82.6552050286937</v>
      </c>
      <c r="AC23">
        <v>113788.135325853</v>
      </c>
      <c r="AD23">
        <v>74.549611999999996</v>
      </c>
      <c r="AE23">
        <v>14067</v>
      </c>
      <c r="AF23">
        <v>12777</v>
      </c>
      <c r="AG23" t="s">
        <v>67</v>
      </c>
      <c r="AH23" t="s">
        <v>119</v>
      </c>
      <c r="AI23" t="s">
        <v>47</v>
      </c>
      <c r="AJ23" t="s">
        <v>48</v>
      </c>
      <c r="AK23" t="s">
        <v>49</v>
      </c>
      <c r="AL23" t="s">
        <v>50</v>
      </c>
    </row>
    <row r="24" spans="1:38" x14ac:dyDescent="0.2">
      <c r="A24">
        <v>0</v>
      </c>
      <c r="B24">
        <v>2.2200000000000002</v>
      </c>
      <c r="C24" t="s">
        <v>62</v>
      </c>
      <c r="D24" t="s">
        <v>44</v>
      </c>
      <c r="E24">
        <v>83.890942698706098</v>
      </c>
      <c r="F24">
        <v>1743</v>
      </c>
      <c r="G24">
        <v>84.127815610267106</v>
      </c>
      <c r="H24">
        <v>303</v>
      </c>
      <c r="I24">
        <v>16.109057301293898</v>
      </c>
      <c r="J24">
        <v>65.682438107377806</v>
      </c>
      <c r="K24">
        <v>83.890942698706098</v>
      </c>
      <c r="L24">
        <v>81.332110077928803</v>
      </c>
      <c r="M24">
        <v>60.2912048644721</v>
      </c>
      <c r="N24">
        <v>83.890942698706098</v>
      </c>
      <c r="O24">
        <v>83.890942698706098</v>
      </c>
      <c r="P24">
        <v>61.941473497098897</v>
      </c>
      <c r="Q24">
        <v>83.890942698706098</v>
      </c>
      <c r="R24">
        <v>82.232110962768601</v>
      </c>
      <c r="S24">
        <v>15.8721843897328</v>
      </c>
      <c r="T24">
        <v>67.123645384515001</v>
      </c>
      <c r="U24">
        <v>84.127815610267106</v>
      </c>
      <c r="V24">
        <v>82.3762154666111</v>
      </c>
      <c r="W24">
        <v>63.072372697724802</v>
      </c>
      <c r="X24">
        <v>84.127815610267106</v>
      </c>
      <c r="Y24">
        <v>84.127815610267106</v>
      </c>
      <c r="Z24">
        <v>64.590950912640295</v>
      </c>
      <c r="AA24">
        <v>84.127815610267106</v>
      </c>
      <c r="AB24">
        <v>83.066928035008104</v>
      </c>
      <c r="AC24">
        <v>198583.122269941</v>
      </c>
      <c r="AD24">
        <v>81.052265000000006</v>
      </c>
      <c r="AE24">
        <v>15839</v>
      </c>
      <c r="AF24">
        <v>14025</v>
      </c>
      <c r="AG24" t="s">
        <v>68</v>
      </c>
      <c r="AH24" t="s">
        <v>119</v>
      </c>
      <c r="AI24" t="s">
        <v>47</v>
      </c>
      <c r="AJ24" t="s">
        <v>48</v>
      </c>
      <c r="AK24" t="s">
        <v>49</v>
      </c>
      <c r="AL24" t="s">
        <v>50</v>
      </c>
    </row>
    <row r="25" spans="1:38" x14ac:dyDescent="0.2">
      <c r="A25">
        <v>0</v>
      </c>
      <c r="B25">
        <v>2.23</v>
      </c>
      <c r="C25" t="s">
        <v>69</v>
      </c>
      <c r="D25" t="s">
        <v>44</v>
      </c>
      <c r="E25">
        <v>85.378927911275397</v>
      </c>
      <c r="F25">
        <v>1582</v>
      </c>
      <c r="G25">
        <v>85.280251440544802</v>
      </c>
      <c r="H25">
        <v>281</v>
      </c>
      <c r="I25">
        <v>14.621072088724601</v>
      </c>
      <c r="J25">
        <v>75.434258762262601</v>
      </c>
      <c r="K25">
        <v>85.378927911275397</v>
      </c>
      <c r="L25">
        <v>82.544547434693101</v>
      </c>
      <c r="M25">
        <v>51.800489594763903</v>
      </c>
      <c r="N25">
        <v>85.378927911275397</v>
      </c>
      <c r="O25">
        <v>85.378927911275397</v>
      </c>
      <c r="P25">
        <v>49.773798939563299</v>
      </c>
      <c r="Q25">
        <v>85.378927911275397</v>
      </c>
      <c r="R25">
        <v>79.461675961421193</v>
      </c>
      <c r="S25">
        <v>14.7197485594552</v>
      </c>
      <c r="T25">
        <v>92.628541448058797</v>
      </c>
      <c r="U25">
        <v>85.280251440544802</v>
      </c>
      <c r="V25">
        <v>87.450371768565205</v>
      </c>
      <c r="W25">
        <v>50.528169014084497</v>
      </c>
      <c r="X25">
        <v>85.280251440544802</v>
      </c>
      <c r="Y25">
        <v>85.280251440544802</v>
      </c>
      <c r="Z25">
        <v>47.066253403157901</v>
      </c>
      <c r="AA25">
        <v>85.280251440544802</v>
      </c>
      <c r="AB25">
        <v>78.659947218284799</v>
      </c>
      <c r="AC25">
        <v>51667.7410882697</v>
      </c>
      <c r="AD25">
        <v>77.478313</v>
      </c>
      <c r="AE25">
        <v>20465</v>
      </c>
      <c r="AF25">
        <v>29235</v>
      </c>
      <c r="AG25" t="s">
        <v>70</v>
      </c>
      <c r="AH25" t="s">
        <v>119</v>
      </c>
      <c r="AI25" t="s">
        <v>47</v>
      </c>
      <c r="AJ25" t="s">
        <v>48</v>
      </c>
      <c r="AK25" t="s">
        <v>49</v>
      </c>
      <c r="AL25" t="s">
        <v>50</v>
      </c>
    </row>
    <row r="26" spans="1:38" x14ac:dyDescent="0.2">
      <c r="A26">
        <v>0</v>
      </c>
      <c r="B26">
        <v>2.2400000000000002</v>
      </c>
      <c r="C26" t="s">
        <v>69</v>
      </c>
      <c r="D26" t="s">
        <v>44</v>
      </c>
      <c r="E26">
        <v>85.4898336414048</v>
      </c>
      <c r="F26">
        <v>1570</v>
      </c>
      <c r="G26">
        <v>85.227867993714</v>
      </c>
      <c r="H26">
        <v>282</v>
      </c>
      <c r="I26">
        <v>14.5101663585952</v>
      </c>
      <c r="J26">
        <v>71.020954809952698</v>
      </c>
      <c r="K26">
        <v>85.4898336414048</v>
      </c>
      <c r="L26">
        <v>81.959012493442998</v>
      </c>
      <c r="M26">
        <v>55.703746661118899</v>
      </c>
      <c r="N26">
        <v>85.4898336414048</v>
      </c>
      <c r="O26">
        <v>85.4898336414048</v>
      </c>
      <c r="P26">
        <v>56.714172679960299</v>
      </c>
      <c r="Q26">
        <v>85.4898336414048</v>
      </c>
      <c r="R26">
        <v>81.490858313958498</v>
      </c>
      <c r="S26">
        <v>14.772132006286</v>
      </c>
      <c r="T26">
        <v>69.013499480789207</v>
      </c>
      <c r="U26">
        <v>85.227867993714</v>
      </c>
      <c r="V26">
        <v>81.589247413601299</v>
      </c>
      <c r="W26">
        <v>56.744745395449598</v>
      </c>
      <c r="X26">
        <v>85.227867993714</v>
      </c>
      <c r="Y26">
        <v>85.227867993714</v>
      </c>
      <c r="Z26">
        <v>58.205388585589397</v>
      </c>
      <c r="AA26">
        <v>85.227867993714</v>
      </c>
      <c r="AB26">
        <v>81.812649097833699</v>
      </c>
      <c r="AC26">
        <v>18512.0550776411</v>
      </c>
      <c r="AD26">
        <v>52.297058999999997</v>
      </c>
      <c r="AE26">
        <v>20499</v>
      </c>
      <c r="AF26">
        <v>29235</v>
      </c>
      <c r="AG26" t="s">
        <v>71</v>
      </c>
      <c r="AH26" t="s">
        <v>119</v>
      </c>
      <c r="AI26" t="s">
        <v>47</v>
      </c>
      <c r="AJ26" t="s">
        <v>48</v>
      </c>
      <c r="AK26" t="s">
        <v>49</v>
      </c>
      <c r="AL26" t="s">
        <v>50</v>
      </c>
    </row>
    <row r="27" spans="1:38" x14ac:dyDescent="0.2">
      <c r="A27">
        <v>0</v>
      </c>
      <c r="B27">
        <v>2.2999999999999998</v>
      </c>
      <c r="C27" t="s">
        <v>45</v>
      </c>
      <c r="D27" t="s">
        <v>44</v>
      </c>
      <c r="E27">
        <v>85.360443622920499</v>
      </c>
      <c r="F27">
        <v>1584</v>
      </c>
      <c r="G27">
        <v>84.651650078575202</v>
      </c>
      <c r="H27">
        <v>293</v>
      </c>
      <c r="I27">
        <v>14.639556377079501</v>
      </c>
      <c r="J27">
        <v>69.9423619414179</v>
      </c>
      <c r="K27">
        <v>85.360443622920499</v>
      </c>
      <c r="L27">
        <v>81.738871656636803</v>
      </c>
      <c r="M27">
        <v>56.2162339146238</v>
      </c>
      <c r="N27">
        <v>85.360443622920499</v>
      </c>
      <c r="O27">
        <v>85.360443622920499</v>
      </c>
      <c r="P27">
        <v>57.4715042939714</v>
      </c>
      <c r="Q27">
        <v>85.360443622920499</v>
      </c>
      <c r="R27">
        <v>81.649133047988499</v>
      </c>
      <c r="S27">
        <v>15.3483499214248</v>
      </c>
      <c r="T27">
        <v>66.376663520283799</v>
      </c>
      <c r="U27">
        <v>84.651650078575202</v>
      </c>
      <c r="V27">
        <v>80.834927222153297</v>
      </c>
      <c r="W27">
        <v>56.842145178764902</v>
      </c>
      <c r="X27">
        <v>84.651650078575202</v>
      </c>
      <c r="Y27">
        <v>84.651650078575202</v>
      </c>
      <c r="Z27">
        <v>58.2570933246365</v>
      </c>
      <c r="AA27">
        <v>84.651650078575202</v>
      </c>
      <c r="AB27">
        <v>81.574023895803705</v>
      </c>
      <c r="AC27">
        <v>42904.329689241</v>
      </c>
      <c r="AD27">
        <v>39.621220999999998</v>
      </c>
      <c r="AE27">
        <v>8298</v>
      </c>
      <c r="AF27">
        <v>7849</v>
      </c>
      <c r="AG27" t="s">
        <v>72</v>
      </c>
      <c r="AH27" t="s">
        <v>119</v>
      </c>
      <c r="AI27" t="s">
        <v>47</v>
      </c>
      <c r="AJ27" t="s">
        <v>48</v>
      </c>
      <c r="AK27" t="s">
        <v>49</v>
      </c>
      <c r="AL27" t="s">
        <v>50</v>
      </c>
    </row>
    <row r="28" spans="1:38" x14ac:dyDescent="0.2">
      <c r="A28">
        <v>0</v>
      </c>
      <c r="B28">
        <v>2.4</v>
      </c>
      <c r="C28" t="s">
        <v>73</v>
      </c>
      <c r="D28" t="s">
        <v>44</v>
      </c>
      <c r="E28">
        <v>86.497227356746805</v>
      </c>
      <c r="F28">
        <v>1461</v>
      </c>
      <c r="G28">
        <v>86.537454164484004</v>
      </c>
      <c r="H28">
        <v>257</v>
      </c>
      <c r="I28">
        <v>13.5027726432532</v>
      </c>
      <c r="J28">
        <v>74.802687278037695</v>
      </c>
      <c r="K28">
        <v>86.497227356746805</v>
      </c>
      <c r="L28">
        <v>84.147493341352899</v>
      </c>
      <c r="M28">
        <v>61.157211983106698</v>
      </c>
      <c r="N28">
        <v>86.497227356746805</v>
      </c>
      <c r="O28">
        <v>86.497227356746805</v>
      </c>
      <c r="P28">
        <v>64.034099398311398</v>
      </c>
      <c r="Q28">
        <v>86.497227356746805</v>
      </c>
      <c r="R28">
        <v>83.988481338701405</v>
      </c>
      <c r="S28">
        <v>13.462545835516</v>
      </c>
      <c r="T28">
        <v>74.178149006218703</v>
      </c>
      <c r="U28">
        <v>86.537454164484004</v>
      </c>
      <c r="V28">
        <v>84.339907569820099</v>
      </c>
      <c r="W28">
        <v>62.8895991332611</v>
      </c>
      <c r="X28">
        <v>86.537454164484004</v>
      </c>
      <c r="Y28">
        <v>86.537454164484004</v>
      </c>
      <c r="Z28">
        <v>65.836771500294205</v>
      </c>
      <c r="AA28">
        <v>86.537454164484004</v>
      </c>
      <c r="AB28">
        <v>84.517535600347102</v>
      </c>
      <c r="AC28">
        <v>16534.5582965432</v>
      </c>
      <c r="AD28">
        <v>37.947937000000003</v>
      </c>
      <c r="AE28">
        <v>5033052</v>
      </c>
      <c r="AF28">
        <v>19956</v>
      </c>
      <c r="AG28" t="s">
        <v>47</v>
      </c>
      <c r="AH28" t="s">
        <v>119</v>
      </c>
      <c r="AI28" t="s">
        <v>47</v>
      </c>
      <c r="AJ28" t="s">
        <v>48</v>
      </c>
      <c r="AK28" t="s">
        <v>49</v>
      </c>
      <c r="AL28" t="s">
        <v>50</v>
      </c>
    </row>
    <row r="29" spans="1:38" x14ac:dyDescent="0.2">
      <c r="A29">
        <v>0</v>
      </c>
      <c r="B29">
        <v>2.5</v>
      </c>
      <c r="C29" t="s">
        <v>74</v>
      </c>
      <c r="D29" t="s">
        <v>44</v>
      </c>
      <c r="E29">
        <v>85.101663585951897</v>
      </c>
      <c r="F29">
        <v>1612</v>
      </c>
      <c r="G29">
        <v>85.123101100052395</v>
      </c>
      <c r="H29">
        <v>284</v>
      </c>
      <c r="I29">
        <v>14.898336414048099</v>
      </c>
      <c r="J29" t="s">
        <v>52</v>
      </c>
      <c r="K29">
        <v>85.101663585951897</v>
      </c>
      <c r="L29" t="s">
        <v>52</v>
      </c>
      <c r="M29">
        <v>50</v>
      </c>
      <c r="N29">
        <v>85.101663585951897</v>
      </c>
      <c r="O29">
        <v>85.101663585951897</v>
      </c>
      <c r="P29">
        <v>45.975634112242901</v>
      </c>
      <c r="Q29">
        <v>85.101663585951897</v>
      </c>
      <c r="R29">
        <v>78.252058947418206</v>
      </c>
      <c r="S29">
        <v>14.8768988999476</v>
      </c>
      <c r="T29" t="s">
        <v>52</v>
      </c>
      <c r="U29">
        <v>85.123101100052395</v>
      </c>
      <c r="V29" t="s">
        <v>52</v>
      </c>
      <c r="W29">
        <v>50</v>
      </c>
      <c r="X29">
        <v>85.123101100052395</v>
      </c>
      <c r="Y29">
        <v>85.123101100052395</v>
      </c>
      <c r="Z29">
        <v>45.9818902093945</v>
      </c>
      <c r="AA29">
        <v>85.123101100052395</v>
      </c>
      <c r="AB29">
        <v>78.282421781315904</v>
      </c>
      <c r="AC29">
        <v>31798.651643126301</v>
      </c>
      <c r="AD29">
        <v>35.209055999999997</v>
      </c>
      <c r="AE29">
        <v>14563</v>
      </c>
      <c r="AF29">
        <v>7987</v>
      </c>
      <c r="AG29" t="s">
        <v>75</v>
      </c>
      <c r="AH29" t="s">
        <v>119</v>
      </c>
      <c r="AI29" t="s">
        <v>47</v>
      </c>
      <c r="AJ29" t="s">
        <v>48</v>
      </c>
      <c r="AK29" t="s">
        <v>49</v>
      </c>
      <c r="AL29" t="s">
        <v>50</v>
      </c>
    </row>
    <row r="30" spans="1:38" x14ac:dyDescent="0.2">
      <c r="A30">
        <v>0</v>
      </c>
      <c r="B30">
        <v>2.6</v>
      </c>
      <c r="C30" t="s">
        <v>76</v>
      </c>
      <c r="D30" t="s">
        <v>44</v>
      </c>
      <c r="E30">
        <v>85.101663585951897</v>
      </c>
      <c r="F30">
        <v>1612</v>
      </c>
      <c r="G30">
        <v>85.123101100052395</v>
      </c>
      <c r="H30">
        <v>284</v>
      </c>
      <c r="I30">
        <v>14.898336414048099</v>
      </c>
      <c r="J30" t="s">
        <v>52</v>
      </c>
      <c r="K30">
        <v>85.101663585951897</v>
      </c>
      <c r="L30" t="s">
        <v>52</v>
      </c>
      <c r="M30">
        <v>50</v>
      </c>
      <c r="N30">
        <v>85.101663585951897</v>
      </c>
      <c r="O30">
        <v>85.101663585951897</v>
      </c>
      <c r="P30">
        <v>45.975634112242901</v>
      </c>
      <c r="Q30">
        <v>85.101663585951897</v>
      </c>
      <c r="R30">
        <v>78.252058947418206</v>
      </c>
      <c r="S30">
        <v>14.8768988999476</v>
      </c>
      <c r="T30" t="s">
        <v>52</v>
      </c>
      <c r="U30">
        <v>85.123101100052395</v>
      </c>
      <c r="V30" t="s">
        <v>52</v>
      </c>
      <c r="W30">
        <v>50</v>
      </c>
      <c r="X30">
        <v>85.123101100052395</v>
      </c>
      <c r="Y30">
        <v>85.123101100052395</v>
      </c>
      <c r="Z30">
        <v>45.9818902093945</v>
      </c>
      <c r="AA30">
        <v>85.123101100052395</v>
      </c>
      <c r="AB30">
        <v>78.282421781315904</v>
      </c>
      <c r="AC30">
        <v>20245.528488751799</v>
      </c>
      <c r="AD30">
        <v>34.069316000000001</v>
      </c>
      <c r="AE30">
        <v>14521</v>
      </c>
      <c r="AF30">
        <v>7987</v>
      </c>
      <c r="AG30" t="s">
        <v>77</v>
      </c>
      <c r="AH30" t="s">
        <v>119</v>
      </c>
      <c r="AI30" t="s">
        <v>47</v>
      </c>
      <c r="AJ30" t="s">
        <v>48</v>
      </c>
      <c r="AK30" t="s">
        <v>49</v>
      </c>
      <c r="AL30" t="s">
        <v>50</v>
      </c>
    </row>
    <row r="31" spans="1:38" x14ac:dyDescent="0.2">
      <c r="A31">
        <v>0</v>
      </c>
      <c r="B31">
        <v>2.7</v>
      </c>
      <c r="C31" t="s">
        <v>78</v>
      </c>
      <c r="D31" t="s">
        <v>44</v>
      </c>
      <c r="E31">
        <v>83.927911275415894</v>
      </c>
      <c r="F31">
        <v>1739</v>
      </c>
      <c r="G31">
        <v>83.918281822943996</v>
      </c>
      <c r="H31">
        <v>307</v>
      </c>
      <c r="I31">
        <v>16.072088724584098</v>
      </c>
      <c r="J31">
        <v>65.646401906557699</v>
      </c>
      <c r="K31">
        <v>83.927911275415894</v>
      </c>
      <c r="L31">
        <v>81.259887983221404</v>
      </c>
      <c r="M31">
        <v>60.005877400814498</v>
      </c>
      <c r="N31">
        <v>83.927911275415894</v>
      </c>
      <c r="O31">
        <v>83.927911275415894</v>
      </c>
      <c r="P31">
        <v>61.672296359668898</v>
      </c>
      <c r="Q31">
        <v>83.927911275415894</v>
      </c>
      <c r="R31">
        <v>82.176074516129106</v>
      </c>
      <c r="S31">
        <v>16.081718177056</v>
      </c>
      <c r="T31">
        <v>65.716592519360702</v>
      </c>
      <c r="U31">
        <v>83.918281822943996</v>
      </c>
      <c r="V31">
        <v>81.373080881198504</v>
      </c>
      <c r="W31">
        <v>60.334127843986998</v>
      </c>
      <c r="X31">
        <v>83.918281822943996</v>
      </c>
      <c r="Y31">
        <v>83.918281822943896</v>
      </c>
      <c r="Z31">
        <v>61.987921760613197</v>
      </c>
      <c r="AA31">
        <v>83.918281822943996</v>
      </c>
      <c r="AB31">
        <v>82.269723721706697</v>
      </c>
      <c r="AC31">
        <v>22025.086614365599</v>
      </c>
      <c r="AD31">
        <v>31.922644999999999</v>
      </c>
      <c r="AE31">
        <v>17955</v>
      </c>
      <c r="AF31">
        <v>17513</v>
      </c>
      <c r="AG31" t="s">
        <v>79</v>
      </c>
      <c r="AH31" t="s">
        <v>119</v>
      </c>
      <c r="AI31" t="s">
        <v>47</v>
      </c>
      <c r="AJ31" t="s">
        <v>48</v>
      </c>
      <c r="AK31" t="s">
        <v>49</v>
      </c>
      <c r="AL31" t="s">
        <v>50</v>
      </c>
    </row>
    <row r="32" spans="1:38" x14ac:dyDescent="0.2">
      <c r="A32">
        <v>0</v>
      </c>
      <c r="B32">
        <v>2.8</v>
      </c>
      <c r="C32" t="s">
        <v>78</v>
      </c>
      <c r="D32" t="s">
        <v>44</v>
      </c>
      <c r="E32">
        <v>85.175600739371504</v>
      </c>
      <c r="F32">
        <v>1604</v>
      </c>
      <c r="G32">
        <v>84.965950759560002</v>
      </c>
      <c r="H32">
        <v>287</v>
      </c>
      <c r="I32">
        <v>14.8243992606285</v>
      </c>
      <c r="J32">
        <v>68.849444699619596</v>
      </c>
      <c r="K32">
        <v>85.175600739371504</v>
      </c>
      <c r="L32">
        <v>81.550538644514702</v>
      </c>
      <c r="M32">
        <v>56.900839274511497</v>
      </c>
      <c r="N32">
        <v>85.175600739371504</v>
      </c>
      <c r="O32">
        <v>85.175600739371504</v>
      </c>
      <c r="P32">
        <v>58.410543973160799</v>
      </c>
      <c r="Q32">
        <v>85.175600739371504</v>
      </c>
      <c r="R32">
        <v>81.833052175480702</v>
      </c>
      <c r="S32">
        <v>15.03404924044</v>
      </c>
      <c r="T32">
        <v>67.575164109817607</v>
      </c>
      <c r="U32">
        <v>84.965950759560002</v>
      </c>
      <c r="V32">
        <v>81.078953859270101</v>
      </c>
      <c r="W32">
        <v>56.300325027085599</v>
      </c>
      <c r="X32">
        <v>84.965950759560002</v>
      </c>
      <c r="Y32">
        <v>84.965950759560002</v>
      </c>
      <c r="Z32">
        <v>57.565456481750402</v>
      </c>
      <c r="AA32">
        <v>84.965950759560002</v>
      </c>
      <c r="AB32">
        <v>81.518561323042903</v>
      </c>
      <c r="AC32">
        <v>521.01925040931599</v>
      </c>
      <c r="AD32">
        <v>116.497574</v>
      </c>
      <c r="AE32">
        <v>8060259</v>
      </c>
      <c r="AF32">
        <v>3999995</v>
      </c>
      <c r="AG32" t="s">
        <v>80</v>
      </c>
      <c r="AH32" t="s">
        <v>119</v>
      </c>
      <c r="AI32" t="s">
        <v>47</v>
      </c>
      <c r="AJ32" t="s">
        <v>48</v>
      </c>
      <c r="AK32" t="s">
        <v>49</v>
      </c>
      <c r="AL32" t="s">
        <v>50</v>
      </c>
    </row>
    <row r="33" spans="1:38" x14ac:dyDescent="0.2">
      <c r="A33">
        <v>0</v>
      </c>
      <c r="B33">
        <v>2.9</v>
      </c>
      <c r="C33" t="s">
        <v>51</v>
      </c>
      <c r="D33" t="s">
        <v>44</v>
      </c>
      <c r="E33">
        <v>85.101663585951897</v>
      </c>
      <c r="F33">
        <v>1612</v>
      </c>
      <c r="G33">
        <v>85.123101100052395</v>
      </c>
      <c r="H33">
        <v>284</v>
      </c>
      <c r="I33">
        <v>14.898336414048099</v>
      </c>
      <c r="J33" t="s">
        <v>52</v>
      </c>
      <c r="K33">
        <v>85.101663585951897</v>
      </c>
      <c r="L33" t="s">
        <v>52</v>
      </c>
      <c r="M33">
        <v>50</v>
      </c>
      <c r="N33">
        <v>85.101663585951897</v>
      </c>
      <c r="O33">
        <v>85.101663585951897</v>
      </c>
      <c r="P33">
        <v>45.975634112242901</v>
      </c>
      <c r="Q33">
        <v>85.101663585951897</v>
      </c>
      <c r="R33">
        <v>78.252058947418206</v>
      </c>
      <c r="S33">
        <v>14.8768988999476</v>
      </c>
      <c r="T33" t="s">
        <v>52</v>
      </c>
      <c r="U33">
        <v>85.123101100052395</v>
      </c>
      <c r="V33" t="s">
        <v>52</v>
      </c>
      <c r="W33">
        <v>50</v>
      </c>
      <c r="X33">
        <v>85.123101100052395</v>
      </c>
      <c r="Y33">
        <v>85.123101100052395</v>
      </c>
      <c r="Z33">
        <v>45.9818902093945</v>
      </c>
      <c r="AA33">
        <v>85.123101100052395</v>
      </c>
      <c r="AB33">
        <v>78.282421781315904</v>
      </c>
      <c r="AC33">
        <v>5172.0173783607997</v>
      </c>
      <c r="AD33">
        <v>28.822692</v>
      </c>
      <c r="AE33">
        <v>841582</v>
      </c>
      <c r="AF33">
        <v>841053</v>
      </c>
      <c r="AG33" t="s">
        <v>81</v>
      </c>
      <c r="AH33" t="s">
        <v>119</v>
      </c>
      <c r="AI33" t="s">
        <v>47</v>
      </c>
      <c r="AJ33" t="s">
        <v>48</v>
      </c>
      <c r="AK33" t="s">
        <v>49</v>
      </c>
      <c r="AL33" t="s">
        <v>50</v>
      </c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7219-7346-4E60-8AF6-2E202020C3B2}">
  <dimension ref="A1:AL33"/>
  <sheetViews>
    <sheetView workbookViewId="0">
      <selection activeCell="E10" sqref="E10"/>
    </sheetView>
  </sheetViews>
  <sheetFormatPr baseColWidth="10" defaultColWidth="8.83203125" defaultRowHeight="16" x14ac:dyDescent="0.2"/>
  <sheetData>
    <row r="1" spans="1:38" x14ac:dyDescent="0.2">
      <c r="A1" t="s">
        <v>0</v>
      </c>
    </row>
    <row r="2" spans="1:38" x14ac:dyDescent="0.2">
      <c r="A2" t="s">
        <v>115</v>
      </c>
    </row>
    <row r="3" spans="1:38" x14ac:dyDescent="0.2">
      <c r="A3" t="s">
        <v>116</v>
      </c>
    </row>
    <row r="4" spans="1:38" x14ac:dyDescent="0.2">
      <c r="A4" t="s">
        <v>117</v>
      </c>
    </row>
    <row r="5" spans="1:38" x14ac:dyDescent="0.2">
      <c r="A5" t="s">
        <v>4</v>
      </c>
    </row>
    <row r="6" spans="1:38" x14ac:dyDescent="0.2">
      <c r="A6" t="s">
        <v>118</v>
      </c>
    </row>
    <row r="9" spans="1:38" x14ac:dyDescent="0.2">
      <c r="A9" t="s">
        <v>6</v>
      </c>
      <c r="B9" t="s">
        <v>7</v>
      </c>
      <c r="C9" t="s">
        <v>9</v>
      </c>
      <c r="D9" t="s">
        <v>8</v>
      </c>
      <c r="E9" t="s">
        <v>10</v>
      </c>
      <c r="F9" t="s">
        <v>11</v>
      </c>
      <c r="G9" t="s">
        <v>22</v>
      </c>
      <c r="H9" t="s">
        <v>23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  <c r="Q9" t="s">
        <v>20</v>
      </c>
      <c r="R9" t="s">
        <v>21</v>
      </c>
      <c r="S9" t="s">
        <v>24</v>
      </c>
      <c r="T9" t="s">
        <v>25</v>
      </c>
      <c r="U9" t="s">
        <v>26</v>
      </c>
      <c r="V9" t="s">
        <v>27</v>
      </c>
      <c r="W9" t="s">
        <v>28</v>
      </c>
      <c r="X9" t="s">
        <v>29</v>
      </c>
      <c r="Y9" t="s">
        <v>30</v>
      </c>
      <c r="Z9" t="s">
        <v>31</v>
      </c>
      <c r="AA9" t="s">
        <v>32</v>
      </c>
      <c r="AB9" t="s">
        <v>33</v>
      </c>
      <c r="AC9" t="s">
        <v>34</v>
      </c>
      <c r="AD9" t="s">
        <v>35</v>
      </c>
      <c r="AE9" t="s">
        <v>36</v>
      </c>
      <c r="AF9" t="s">
        <v>37</v>
      </c>
      <c r="AG9" t="s">
        <v>38</v>
      </c>
      <c r="AH9" t="s">
        <v>39</v>
      </c>
      <c r="AI9" t="s">
        <v>40</v>
      </c>
      <c r="AJ9" t="s">
        <v>41</v>
      </c>
      <c r="AK9" t="s">
        <v>42</v>
      </c>
      <c r="AL9" t="s">
        <v>43</v>
      </c>
    </row>
    <row r="10" spans="1:38" x14ac:dyDescent="0.2">
      <c r="A10">
        <v>0</v>
      </c>
      <c r="B10">
        <v>2.1</v>
      </c>
      <c r="C10" t="s">
        <v>45</v>
      </c>
      <c r="D10" t="s">
        <v>44</v>
      </c>
      <c r="E10">
        <f>84.9769</f>
        <v>84.976900000000001</v>
      </c>
      <c r="F10">
        <v>1610</v>
      </c>
      <c r="G10">
        <v>84.389732844421204</v>
      </c>
      <c r="H10">
        <v>298</v>
      </c>
      <c r="I10">
        <v>14.879852125693199</v>
      </c>
      <c r="J10">
        <v>68.886980291595094</v>
      </c>
      <c r="K10">
        <v>85.120147874306795</v>
      </c>
      <c r="L10">
        <v>82.049570060839102</v>
      </c>
      <c r="M10">
        <v>59.324640565006597</v>
      </c>
      <c r="N10">
        <v>85.120147874306795</v>
      </c>
      <c r="O10">
        <v>85.120147874306795</v>
      </c>
      <c r="P10">
        <v>61.398310001073398</v>
      </c>
      <c r="Q10">
        <v>85.120147874306795</v>
      </c>
      <c r="R10">
        <v>82.6422478087934</v>
      </c>
      <c r="S10">
        <v>15.6102671555788</v>
      </c>
      <c r="T10">
        <v>66.971807390388705</v>
      </c>
      <c r="U10">
        <v>84.389732844421204</v>
      </c>
      <c r="V10">
        <v>81.820782618524404</v>
      </c>
      <c r="W10">
        <v>60.756338028168997</v>
      </c>
      <c r="X10">
        <v>84.389732844421204</v>
      </c>
      <c r="Y10">
        <v>84.389732844421204</v>
      </c>
      <c r="Z10">
        <v>62.608779097587004</v>
      </c>
      <c r="AA10">
        <v>84.389732844421204</v>
      </c>
      <c r="AB10">
        <v>82.655628084892797</v>
      </c>
      <c r="AC10">
        <v>44539.212619169099</v>
      </c>
      <c r="AD10">
        <v>9.35412</v>
      </c>
      <c r="AE10">
        <v>35466</v>
      </c>
      <c r="AF10">
        <v>27593</v>
      </c>
      <c r="AG10" t="s">
        <v>46</v>
      </c>
      <c r="AH10" t="s">
        <v>119</v>
      </c>
      <c r="AI10" t="s">
        <v>47</v>
      </c>
      <c r="AJ10" t="s">
        <v>48</v>
      </c>
      <c r="AK10" t="s">
        <v>49</v>
      </c>
      <c r="AL10" t="s">
        <v>50</v>
      </c>
    </row>
    <row r="11" spans="1:38" x14ac:dyDescent="0.2">
      <c r="A11">
        <v>0</v>
      </c>
      <c r="B11">
        <v>2.1</v>
      </c>
      <c r="C11" t="s">
        <v>51</v>
      </c>
      <c r="D11" t="s">
        <v>44</v>
      </c>
      <c r="E11">
        <v>85.970425138632194</v>
      </c>
      <c r="F11">
        <v>1518</v>
      </c>
      <c r="G11">
        <v>85.961236249345205</v>
      </c>
      <c r="H11">
        <v>268</v>
      </c>
      <c r="I11">
        <v>14.0295748613678</v>
      </c>
      <c r="J11">
        <v>75.964882180124604</v>
      </c>
      <c r="K11">
        <v>85.970425138632194</v>
      </c>
      <c r="L11">
        <v>83.410229389452894</v>
      </c>
      <c r="M11">
        <v>55.627887498841197</v>
      </c>
      <c r="N11">
        <v>85.970425138632194</v>
      </c>
      <c r="O11">
        <v>85.970425138632194</v>
      </c>
      <c r="P11">
        <v>56.579034608165102</v>
      </c>
      <c r="Q11">
        <v>85.970425138632194</v>
      </c>
      <c r="R11">
        <v>81.658455240543006</v>
      </c>
      <c r="S11">
        <v>14.0387637506548</v>
      </c>
      <c r="T11">
        <v>76.249058633673997</v>
      </c>
      <c r="U11">
        <v>85.961236249345205</v>
      </c>
      <c r="V11">
        <v>83.448633085091998</v>
      </c>
      <c r="W11">
        <v>55.286782231852698</v>
      </c>
      <c r="X11">
        <v>85.961236249345205</v>
      </c>
      <c r="Y11">
        <v>85.961236249345205</v>
      </c>
      <c r="Z11">
        <v>56.034085674804203</v>
      </c>
      <c r="AA11">
        <v>85.961236249345205</v>
      </c>
      <c r="AB11">
        <v>81.514916735413394</v>
      </c>
      <c r="AC11">
        <v>9370.5371950570006</v>
      </c>
      <c r="AD11">
        <v>83.945226000000005</v>
      </c>
      <c r="AE11">
        <v>835902</v>
      </c>
      <c r="AF11">
        <v>835597</v>
      </c>
      <c r="AG11" t="s">
        <v>53</v>
      </c>
      <c r="AH11" t="s">
        <v>119</v>
      </c>
      <c r="AI11" t="s">
        <v>47</v>
      </c>
      <c r="AJ11" t="s">
        <v>48</v>
      </c>
      <c r="AK11" t="s">
        <v>49</v>
      </c>
      <c r="AL11" t="s">
        <v>50</v>
      </c>
    </row>
    <row r="12" spans="1:38" x14ac:dyDescent="0.2">
      <c r="A12">
        <v>0</v>
      </c>
      <c r="B12">
        <v>2.11</v>
      </c>
      <c r="C12" t="s">
        <v>51</v>
      </c>
      <c r="D12" t="s">
        <v>44</v>
      </c>
      <c r="E12">
        <v>83.299445471349401</v>
      </c>
      <c r="F12">
        <v>1807</v>
      </c>
      <c r="G12">
        <v>84.494499738082794</v>
      </c>
      <c r="H12">
        <v>296</v>
      </c>
      <c r="I12">
        <v>16.700554528650599</v>
      </c>
      <c r="J12">
        <v>64.488643892362205</v>
      </c>
      <c r="K12">
        <v>83.299445471349401</v>
      </c>
      <c r="L12">
        <v>80.992091431515206</v>
      </c>
      <c r="M12">
        <v>60.2763159880393</v>
      </c>
      <c r="N12">
        <v>83.299445471349401</v>
      </c>
      <c r="O12">
        <v>83.299445471349301</v>
      </c>
      <c r="P12">
        <v>61.681490755644496</v>
      </c>
      <c r="Q12">
        <v>83.299445471349401</v>
      </c>
      <c r="R12">
        <v>81.886976669326501</v>
      </c>
      <c r="S12">
        <v>15.5055002619172</v>
      </c>
      <c r="T12">
        <v>67.670323703967199</v>
      </c>
      <c r="U12">
        <v>84.494499738082794</v>
      </c>
      <c r="V12">
        <v>82.349061545053104</v>
      </c>
      <c r="W12">
        <v>62.270747562296897</v>
      </c>
      <c r="X12">
        <v>84.494499738082794</v>
      </c>
      <c r="Y12">
        <v>84.494499738082794</v>
      </c>
      <c r="Z12">
        <v>64.090088716032398</v>
      </c>
      <c r="AA12">
        <v>84.494499738082794</v>
      </c>
      <c r="AB12">
        <v>83.104901211216202</v>
      </c>
      <c r="AC12">
        <v>9956.2642109108492</v>
      </c>
      <c r="AD12">
        <v>92.075372999999999</v>
      </c>
      <c r="AE12">
        <v>916502</v>
      </c>
      <c r="AF12">
        <v>916197</v>
      </c>
      <c r="AG12" t="s">
        <v>54</v>
      </c>
      <c r="AH12" t="s">
        <v>119</v>
      </c>
      <c r="AI12" t="s">
        <v>47</v>
      </c>
      <c r="AJ12" t="s">
        <v>48</v>
      </c>
      <c r="AK12" t="s">
        <v>49</v>
      </c>
      <c r="AL12" t="s">
        <v>50</v>
      </c>
    </row>
    <row r="13" spans="1:38" x14ac:dyDescent="0.2">
      <c r="A13">
        <v>0</v>
      </c>
      <c r="B13">
        <v>2.12</v>
      </c>
      <c r="C13" t="s">
        <v>51</v>
      </c>
      <c r="D13" t="s">
        <v>44</v>
      </c>
      <c r="E13">
        <v>85.101663585951897</v>
      </c>
      <c r="F13">
        <v>1612</v>
      </c>
      <c r="G13">
        <v>85.123101100052395</v>
      </c>
      <c r="H13">
        <v>284</v>
      </c>
      <c r="I13">
        <v>14.898336414048099</v>
      </c>
      <c r="J13" t="s">
        <v>52</v>
      </c>
      <c r="K13">
        <v>85.101663585951897</v>
      </c>
      <c r="L13" t="s">
        <v>52</v>
      </c>
      <c r="M13">
        <v>50</v>
      </c>
      <c r="N13">
        <v>85.101663585951897</v>
      </c>
      <c r="O13">
        <v>85.101663585951897</v>
      </c>
      <c r="P13">
        <v>45.975634112242901</v>
      </c>
      <c r="Q13">
        <v>85.101663585951897</v>
      </c>
      <c r="R13">
        <v>78.252058947418206</v>
      </c>
      <c r="S13">
        <v>14.8768988999476</v>
      </c>
      <c r="T13" t="s">
        <v>52</v>
      </c>
      <c r="U13">
        <v>85.123101100052395</v>
      </c>
      <c r="V13" t="s">
        <v>52</v>
      </c>
      <c r="W13">
        <v>50</v>
      </c>
      <c r="X13">
        <v>85.123101100052395</v>
      </c>
      <c r="Y13">
        <v>85.123101100052395</v>
      </c>
      <c r="Z13">
        <v>45.9818902093945</v>
      </c>
      <c r="AA13">
        <v>85.123101100052395</v>
      </c>
      <c r="AB13">
        <v>78.282421781315904</v>
      </c>
      <c r="AC13">
        <v>4669.8840815650101</v>
      </c>
      <c r="AD13">
        <v>63.216796000000002</v>
      </c>
      <c r="AE13">
        <v>2691930</v>
      </c>
      <c r="AF13">
        <v>2691629</v>
      </c>
      <c r="AG13" t="s">
        <v>120</v>
      </c>
      <c r="AH13" t="s">
        <v>119</v>
      </c>
      <c r="AI13" t="s">
        <v>47</v>
      </c>
      <c r="AJ13" t="s">
        <v>48</v>
      </c>
      <c r="AK13" t="s">
        <v>49</v>
      </c>
      <c r="AL13" t="s">
        <v>50</v>
      </c>
    </row>
    <row r="14" spans="1:38" x14ac:dyDescent="0.2">
      <c r="A14">
        <v>0</v>
      </c>
      <c r="B14">
        <v>2.13</v>
      </c>
      <c r="C14" t="s">
        <v>51</v>
      </c>
      <c r="D14" t="s">
        <v>44</v>
      </c>
      <c r="E14">
        <v>85.748613678373403</v>
      </c>
      <c r="F14">
        <v>1542</v>
      </c>
      <c r="G14">
        <v>85.908852802514403</v>
      </c>
      <c r="H14">
        <v>269</v>
      </c>
      <c r="I14">
        <v>14.251386321626599</v>
      </c>
      <c r="J14">
        <v>76.712904856128901</v>
      </c>
      <c r="K14">
        <v>85.748613678373403</v>
      </c>
      <c r="L14">
        <v>83.302310022581395</v>
      </c>
      <c r="M14">
        <v>53.8599782689775</v>
      </c>
      <c r="N14">
        <v>85.748613678373403</v>
      </c>
      <c r="O14">
        <v>85.748613678373403</v>
      </c>
      <c r="P14">
        <v>53.6084108146609</v>
      </c>
      <c r="Q14">
        <v>85.748613678373403</v>
      </c>
      <c r="R14">
        <v>80.716669858938005</v>
      </c>
      <c r="S14">
        <v>14.091147197485601</v>
      </c>
      <c r="T14">
        <v>75.878867676102701</v>
      </c>
      <c r="U14">
        <v>85.908852802514403</v>
      </c>
      <c r="V14">
        <v>83.305819666449494</v>
      </c>
      <c r="W14">
        <v>55.110725893824501</v>
      </c>
      <c r="X14">
        <v>85.908852802514403</v>
      </c>
      <c r="Y14">
        <v>85.908852802514403</v>
      </c>
      <c r="Z14">
        <v>55.750212192105998</v>
      </c>
      <c r="AA14">
        <v>85.908852802514403</v>
      </c>
      <c r="AB14">
        <v>81.411847381546096</v>
      </c>
      <c r="AC14">
        <v>6204.7047948261297</v>
      </c>
      <c r="AD14">
        <v>48.171399999999998</v>
      </c>
      <c r="AE14">
        <v>1041242</v>
      </c>
      <c r="AF14">
        <v>1040941</v>
      </c>
      <c r="AG14" t="s">
        <v>121</v>
      </c>
      <c r="AH14" t="s">
        <v>119</v>
      </c>
      <c r="AI14" t="s">
        <v>47</v>
      </c>
      <c r="AJ14" t="s">
        <v>48</v>
      </c>
      <c r="AK14" t="s">
        <v>49</v>
      </c>
      <c r="AL14" t="s">
        <v>50</v>
      </c>
    </row>
    <row r="15" spans="1:38" x14ac:dyDescent="0.2">
      <c r="A15">
        <v>0</v>
      </c>
      <c r="B15">
        <v>2.14</v>
      </c>
      <c r="C15" t="s">
        <v>51</v>
      </c>
      <c r="D15" t="s">
        <v>44</v>
      </c>
      <c r="E15">
        <v>85.101663585951897</v>
      </c>
      <c r="F15">
        <v>1612</v>
      </c>
      <c r="G15">
        <v>85.123101100052395</v>
      </c>
      <c r="H15">
        <v>284</v>
      </c>
      <c r="I15">
        <v>14.898336414048099</v>
      </c>
      <c r="J15" t="s">
        <v>52</v>
      </c>
      <c r="K15">
        <v>85.101663585951897</v>
      </c>
      <c r="L15" t="s">
        <v>52</v>
      </c>
      <c r="M15">
        <v>50</v>
      </c>
      <c r="N15">
        <v>85.101663585951897</v>
      </c>
      <c r="O15">
        <v>85.101663585951897</v>
      </c>
      <c r="P15">
        <v>45.975634112242901</v>
      </c>
      <c r="Q15">
        <v>85.101663585951897</v>
      </c>
      <c r="R15">
        <v>78.252058947418206</v>
      </c>
      <c r="S15">
        <v>14.8768988999476</v>
      </c>
      <c r="T15" t="s">
        <v>52</v>
      </c>
      <c r="U15">
        <v>85.123101100052395</v>
      </c>
      <c r="V15" t="s">
        <v>52</v>
      </c>
      <c r="W15">
        <v>50</v>
      </c>
      <c r="X15">
        <v>85.123101100052395</v>
      </c>
      <c r="Y15">
        <v>85.123101100052395</v>
      </c>
      <c r="Z15">
        <v>45.9818902093945</v>
      </c>
      <c r="AA15">
        <v>85.123101100052395</v>
      </c>
      <c r="AB15">
        <v>78.282421781315904</v>
      </c>
      <c r="AC15">
        <v>7058.8388797192101</v>
      </c>
      <c r="AD15">
        <v>46.700001999999998</v>
      </c>
      <c r="AE15">
        <v>858962</v>
      </c>
      <c r="AF15">
        <v>858661</v>
      </c>
      <c r="AG15" t="s">
        <v>122</v>
      </c>
      <c r="AH15" t="s">
        <v>119</v>
      </c>
      <c r="AI15" t="s">
        <v>47</v>
      </c>
      <c r="AJ15" t="s">
        <v>48</v>
      </c>
      <c r="AK15" t="s">
        <v>49</v>
      </c>
      <c r="AL15" t="s">
        <v>50</v>
      </c>
    </row>
    <row r="16" spans="1:38" x14ac:dyDescent="0.2">
      <c r="A16">
        <v>0</v>
      </c>
      <c r="B16">
        <v>2.15</v>
      </c>
      <c r="C16" t="s">
        <v>58</v>
      </c>
      <c r="D16" t="s">
        <v>44</v>
      </c>
      <c r="E16">
        <v>86.432532347504605</v>
      </c>
      <c r="F16">
        <v>1468</v>
      </c>
      <c r="G16">
        <v>86.904138292299606</v>
      </c>
      <c r="H16">
        <v>250</v>
      </c>
      <c r="I16">
        <v>13.567467652495401</v>
      </c>
      <c r="J16">
        <v>75.510745670963601</v>
      </c>
      <c r="K16">
        <v>86.432532347504605</v>
      </c>
      <c r="L16">
        <v>84.024897107232604</v>
      </c>
      <c r="M16">
        <v>59.507201096036901</v>
      </c>
      <c r="N16">
        <v>86.432532347504605</v>
      </c>
      <c r="O16">
        <v>86.432532347504605</v>
      </c>
      <c r="P16">
        <v>62.0944312527593</v>
      </c>
      <c r="Q16">
        <v>86.432532347504605</v>
      </c>
      <c r="R16">
        <v>83.417639547532701</v>
      </c>
      <c r="S16">
        <v>13.095861707700401</v>
      </c>
      <c r="T16">
        <v>76.396577993545904</v>
      </c>
      <c r="U16">
        <v>86.904138292299606</v>
      </c>
      <c r="V16">
        <v>84.818955973598904</v>
      </c>
      <c r="W16">
        <v>62.087973997833103</v>
      </c>
      <c r="X16">
        <v>86.904138292299606</v>
      </c>
      <c r="Y16">
        <v>86.904138292299606</v>
      </c>
      <c r="Z16">
        <v>65.246222051335806</v>
      </c>
      <c r="AA16">
        <v>86.904138292299606</v>
      </c>
      <c r="AB16">
        <v>84.518462050760107</v>
      </c>
      <c r="AC16">
        <v>8105.9375618059003</v>
      </c>
      <c r="AD16">
        <v>44.554040000000001</v>
      </c>
      <c r="AE16">
        <v>392481</v>
      </c>
      <c r="AF16">
        <v>193614</v>
      </c>
      <c r="AG16" t="s">
        <v>59</v>
      </c>
      <c r="AH16" t="s">
        <v>119</v>
      </c>
      <c r="AI16" t="s">
        <v>47</v>
      </c>
      <c r="AJ16" t="s">
        <v>48</v>
      </c>
      <c r="AK16" t="s">
        <v>49</v>
      </c>
      <c r="AL16" t="s">
        <v>50</v>
      </c>
    </row>
    <row r="17" spans="1:38" x14ac:dyDescent="0.2">
      <c r="A17">
        <v>0</v>
      </c>
      <c r="B17">
        <v>2.16</v>
      </c>
      <c r="C17" t="s">
        <v>58</v>
      </c>
      <c r="D17" t="s">
        <v>44</v>
      </c>
      <c r="E17">
        <v>86.275415896487999</v>
      </c>
      <c r="F17">
        <v>1485</v>
      </c>
      <c r="G17">
        <v>85.437401781037195</v>
      </c>
      <c r="H17">
        <v>278</v>
      </c>
      <c r="I17">
        <v>13.724584103512001</v>
      </c>
      <c r="J17">
        <v>74.018205002452206</v>
      </c>
      <c r="K17">
        <v>86.275415896487999</v>
      </c>
      <c r="L17">
        <v>83.747126000476797</v>
      </c>
      <c r="M17">
        <v>60.310445874016096</v>
      </c>
      <c r="N17">
        <v>86.275415896487999</v>
      </c>
      <c r="O17">
        <v>86.275415896487999</v>
      </c>
      <c r="P17">
        <v>62.9814974761494</v>
      </c>
      <c r="Q17">
        <v>86.275415896487999</v>
      </c>
      <c r="R17">
        <v>83.5967374063477</v>
      </c>
      <c r="S17">
        <v>14.562598218962799</v>
      </c>
      <c r="T17">
        <v>70.079791900617593</v>
      </c>
      <c r="U17">
        <v>85.437401781037195</v>
      </c>
      <c r="V17">
        <v>82.538687756420799</v>
      </c>
      <c r="W17">
        <v>59.9188515709643</v>
      </c>
      <c r="X17">
        <v>85.437401781037195</v>
      </c>
      <c r="Y17">
        <v>85.437401781037195</v>
      </c>
      <c r="Z17">
        <v>62.181102451983598</v>
      </c>
      <c r="AA17">
        <v>85.437401781037195</v>
      </c>
      <c r="AB17">
        <v>83.013899646546605</v>
      </c>
      <c r="AC17">
        <v>14352.854719131101</v>
      </c>
      <c r="AD17">
        <v>63.248679000000003</v>
      </c>
      <c r="AE17">
        <v>5526377</v>
      </c>
      <c r="AF17">
        <v>4062030</v>
      </c>
      <c r="AG17" t="s">
        <v>60</v>
      </c>
      <c r="AH17" t="s">
        <v>119</v>
      </c>
      <c r="AI17" t="s">
        <v>47</v>
      </c>
      <c r="AJ17" t="s">
        <v>48</v>
      </c>
      <c r="AK17" t="s">
        <v>49</v>
      </c>
      <c r="AL17" t="s">
        <v>50</v>
      </c>
    </row>
    <row r="18" spans="1:38" x14ac:dyDescent="0.2">
      <c r="A18">
        <v>0</v>
      </c>
      <c r="B18">
        <v>2.17</v>
      </c>
      <c r="C18" t="s">
        <v>58</v>
      </c>
      <c r="D18" t="s">
        <v>44</v>
      </c>
      <c r="E18">
        <v>72.800369685767095</v>
      </c>
      <c r="F18">
        <v>2943</v>
      </c>
      <c r="G18">
        <v>72.812991094813995</v>
      </c>
      <c r="H18">
        <v>519</v>
      </c>
      <c r="I18">
        <v>27.199630314232898</v>
      </c>
      <c r="J18">
        <v>63.910455590038701</v>
      </c>
      <c r="K18">
        <v>72.800369685767095</v>
      </c>
      <c r="L18">
        <v>85.7641084933244</v>
      </c>
      <c r="M18">
        <v>75.191709442431105</v>
      </c>
      <c r="N18">
        <v>72.800369685767095</v>
      </c>
      <c r="O18">
        <v>72.800369685767095</v>
      </c>
      <c r="P18">
        <v>64.028975354022705</v>
      </c>
      <c r="Q18">
        <v>72.800369685767095</v>
      </c>
      <c r="R18">
        <v>76.499031753785104</v>
      </c>
      <c r="S18">
        <v>27.187008905186001</v>
      </c>
      <c r="T18">
        <v>64.384550004498294</v>
      </c>
      <c r="U18">
        <v>72.812991094813995</v>
      </c>
      <c r="V18">
        <v>86.331228649378701</v>
      </c>
      <c r="W18">
        <v>76.330552546045496</v>
      </c>
      <c r="X18">
        <v>72.812991094813995</v>
      </c>
      <c r="Y18">
        <v>72.812991094813995</v>
      </c>
      <c r="Z18">
        <v>64.400414358536594</v>
      </c>
      <c r="AA18">
        <v>72.812991094813995</v>
      </c>
      <c r="AB18">
        <v>76.556950353523703</v>
      </c>
      <c r="AC18">
        <v>24019.250919036</v>
      </c>
      <c r="AD18">
        <v>42.58146</v>
      </c>
      <c r="AE18">
        <v>370293</v>
      </c>
      <c r="AF18">
        <v>174274</v>
      </c>
      <c r="AG18" t="s">
        <v>61</v>
      </c>
      <c r="AH18" t="s">
        <v>119</v>
      </c>
      <c r="AI18" t="s">
        <v>47</v>
      </c>
      <c r="AJ18" t="s">
        <v>48</v>
      </c>
      <c r="AK18" t="s">
        <v>49</v>
      </c>
      <c r="AL18" t="s">
        <v>50</v>
      </c>
    </row>
    <row r="19" spans="1:38" x14ac:dyDescent="0.2">
      <c r="A19">
        <v>0</v>
      </c>
      <c r="B19">
        <v>2.1800000000000002</v>
      </c>
      <c r="C19" t="s">
        <v>62</v>
      </c>
      <c r="D19" t="s">
        <v>44</v>
      </c>
      <c r="E19">
        <v>84.815157116451005</v>
      </c>
      <c r="F19">
        <v>1643</v>
      </c>
      <c r="G19">
        <v>85.594552121529603</v>
      </c>
      <c r="H19">
        <v>275</v>
      </c>
      <c r="I19">
        <v>15.184842883549001</v>
      </c>
      <c r="J19">
        <v>68.206786849172005</v>
      </c>
      <c r="K19">
        <v>84.815157116451005</v>
      </c>
      <c r="L19">
        <v>82.196272383686406</v>
      </c>
      <c r="M19">
        <v>60.962147490692097</v>
      </c>
      <c r="N19">
        <v>84.815157116451005</v>
      </c>
      <c r="O19">
        <v>84.815157116451005</v>
      </c>
      <c r="P19">
        <v>63.015012373260298</v>
      </c>
      <c r="Q19">
        <v>84.815157116451005</v>
      </c>
      <c r="R19">
        <v>82.949272571800904</v>
      </c>
      <c r="S19">
        <v>14.405447878470399</v>
      </c>
      <c r="T19">
        <v>70.696819649245299</v>
      </c>
      <c r="U19">
        <v>85.594552121529603</v>
      </c>
      <c r="V19">
        <v>83.222123251335105</v>
      </c>
      <c r="W19">
        <v>62.335752979414899</v>
      </c>
      <c r="X19">
        <v>85.594552121529603</v>
      </c>
      <c r="Y19">
        <v>85.594552121529603</v>
      </c>
      <c r="Z19">
        <v>64.749200440219496</v>
      </c>
      <c r="AA19">
        <v>85.594552121529603</v>
      </c>
      <c r="AB19">
        <v>83.791173604141093</v>
      </c>
      <c r="AC19">
        <v>82928.399527875299</v>
      </c>
      <c r="AD19">
        <v>60.768580999999998</v>
      </c>
      <c r="AE19">
        <v>12295</v>
      </c>
      <c r="AF19">
        <v>11529</v>
      </c>
      <c r="AG19" t="s">
        <v>63</v>
      </c>
      <c r="AH19" t="s">
        <v>119</v>
      </c>
      <c r="AI19" t="s">
        <v>47</v>
      </c>
      <c r="AJ19" t="s">
        <v>48</v>
      </c>
      <c r="AK19" t="s">
        <v>49</v>
      </c>
      <c r="AL19" t="s">
        <v>50</v>
      </c>
    </row>
    <row r="20" spans="1:38" x14ac:dyDescent="0.2">
      <c r="A20">
        <v>0</v>
      </c>
      <c r="B20">
        <v>2.19</v>
      </c>
      <c r="C20" t="s">
        <v>62</v>
      </c>
      <c r="D20" t="s">
        <v>44</v>
      </c>
      <c r="E20">
        <v>82.643253234750503</v>
      </c>
      <c r="F20">
        <v>1878</v>
      </c>
      <c r="G20">
        <v>82.922996333158693</v>
      </c>
      <c r="H20">
        <v>326</v>
      </c>
      <c r="I20">
        <v>17.3567467652495</v>
      </c>
      <c r="J20">
        <v>63.828380355276899</v>
      </c>
      <c r="K20">
        <v>82.643253234750503</v>
      </c>
      <c r="L20">
        <v>81.005997469757801</v>
      </c>
      <c r="M20">
        <v>61.144559806662897</v>
      </c>
      <c r="N20">
        <v>82.643253234750503</v>
      </c>
      <c r="O20">
        <v>82.643253234750404</v>
      </c>
      <c r="P20">
        <v>62.190243143265199</v>
      </c>
      <c r="Q20">
        <v>82.643253234750503</v>
      </c>
      <c r="R20">
        <v>81.712870016213401</v>
      </c>
      <c r="S20">
        <v>17.0770036668413</v>
      </c>
      <c r="T20">
        <v>64.320814464789606</v>
      </c>
      <c r="U20">
        <v>82.922996333158693</v>
      </c>
      <c r="V20">
        <v>81.210134630993394</v>
      </c>
      <c r="W20">
        <v>61.347670639219899</v>
      </c>
      <c r="X20">
        <v>82.922996333158693</v>
      </c>
      <c r="Y20">
        <v>82.922996333158693</v>
      </c>
      <c r="Z20">
        <v>62.487402049427402</v>
      </c>
      <c r="AA20">
        <v>82.922996333158693</v>
      </c>
      <c r="AB20">
        <v>81.936750477024106</v>
      </c>
      <c r="AC20">
        <v>46205.156017132598</v>
      </c>
      <c r="AD20">
        <v>76.791628000000003</v>
      </c>
      <c r="AE20">
        <v>16135</v>
      </c>
      <c r="AF20">
        <v>15369</v>
      </c>
      <c r="AG20" t="s">
        <v>64</v>
      </c>
      <c r="AH20" t="s">
        <v>119</v>
      </c>
      <c r="AI20" t="s">
        <v>47</v>
      </c>
      <c r="AJ20" t="s">
        <v>48</v>
      </c>
      <c r="AK20" t="s">
        <v>49</v>
      </c>
      <c r="AL20" t="s">
        <v>50</v>
      </c>
    </row>
    <row r="21" spans="1:38" x14ac:dyDescent="0.2">
      <c r="A21">
        <v>0</v>
      </c>
      <c r="B21">
        <v>2.2000000000000002</v>
      </c>
      <c r="C21" t="s">
        <v>45</v>
      </c>
      <c r="D21" t="s">
        <v>44</v>
      </c>
      <c r="E21">
        <v>85.7024029574861</v>
      </c>
      <c r="F21">
        <v>1547</v>
      </c>
      <c r="G21">
        <v>85.437401781037195</v>
      </c>
      <c r="H21">
        <v>278</v>
      </c>
      <c r="I21">
        <v>14.2975970425139</v>
      </c>
      <c r="J21">
        <v>71.565586774900794</v>
      </c>
      <c r="K21">
        <v>85.7024029574861</v>
      </c>
      <c r="L21">
        <v>82.638308544638704</v>
      </c>
      <c r="M21">
        <v>58.361781642028802</v>
      </c>
      <c r="N21">
        <v>85.7024029574861</v>
      </c>
      <c r="O21">
        <v>85.7024029574861</v>
      </c>
      <c r="P21">
        <v>60.430658834279598</v>
      </c>
      <c r="Q21">
        <v>85.7024029574861</v>
      </c>
      <c r="R21">
        <v>82.630747692829004</v>
      </c>
      <c r="S21">
        <v>14.562598218962799</v>
      </c>
      <c r="T21">
        <v>70.098817387598601</v>
      </c>
      <c r="U21">
        <v>85.437401781037195</v>
      </c>
      <c r="V21">
        <v>82.191140533748595</v>
      </c>
      <c r="W21">
        <v>58.175406283857001</v>
      </c>
      <c r="X21">
        <v>85.437401781037195</v>
      </c>
      <c r="Y21">
        <v>85.437401781037195</v>
      </c>
      <c r="Z21">
        <v>60.122779597848002</v>
      </c>
      <c r="AA21">
        <v>85.437401781037195</v>
      </c>
      <c r="AB21">
        <v>82.441588504920105</v>
      </c>
      <c r="AC21">
        <v>45183.678753231099</v>
      </c>
      <c r="AD21">
        <v>41.207779000000002</v>
      </c>
      <c r="AE21">
        <v>12374</v>
      </c>
      <c r="AF21">
        <v>9357</v>
      </c>
      <c r="AG21" t="s">
        <v>65</v>
      </c>
      <c r="AH21" t="s">
        <v>119</v>
      </c>
      <c r="AI21" t="s">
        <v>47</v>
      </c>
      <c r="AJ21" t="s">
        <v>48</v>
      </c>
      <c r="AK21" t="s">
        <v>49</v>
      </c>
      <c r="AL21" t="s">
        <v>50</v>
      </c>
    </row>
    <row r="22" spans="1:38" x14ac:dyDescent="0.2">
      <c r="A22">
        <v>0</v>
      </c>
      <c r="B22">
        <v>2.2000000000000002</v>
      </c>
      <c r="C22" t="s">
        <v>62</v>
      </c>
      <c r="D22" t="s">
        <v>44</v>
      </c>
      <c r="E22">
        <v>79.676524953789297</v>
      </c>
      <c r="F22">
        <v>2199</v>
      </c>
      <c r="G22">
        <v>79.256155055002594</v>
      </c>
      <c r="H22">
        <v>396</v>
      </c>
      <c r="I22">
        <v>20.323475046210699</v>
      </c>
      <c r="J22">
        <v>60.177119998674897</v>
      </c>
      <c r="K22">
        <v>79.676524953789297</v>
      </c>
      <c r="L22">
        <v>79.847436072917802</v>
      </c>
      <c r="M22">
        <v>60.348240714191803</v>
      </c>
      <c r="N22">
        <v>79.676524953789297</v>
      </c>
      <c r="O22">
        <v>79.676524953789297</v>
      </c>
      <c r="P22">
        <v>60.260870969629302</v>
      </c>
      <c r="Q22">
        <v>79.676524953789297</v>
      </c>
      <c r="R22">
        <v>79.761242206397696</v>
      </c>
      <c r="S22">
        <v>20.743844944997399</v>
      </c>
      <c r="T22">
        <v>60.742882735522102</v>
      </c>
      <c r="U22">
        <v>79.256155055002594</v>
      </c>
      <c r="V22">
        <v>80.430668762820602</v>
      </c>
      <c r="W22">
        <v>61.9542795232936</v>
      </c>
      <c r="X22">
        <v>79.256155055002594</v>
      </c>
      <c r="Y22">
        <v>79.256155055002594</v>
      </c>
      <c r="Z22">
        <v>61.265986227250401</v>
      </c>
      <c r="AA22">
        <v>79.256155055002594</v>
      </c>
      <c r="AB22">
        <v>79.809273235717498</v>
      </c>
      <c r="AC22">
        <v>45462.375892335702</v>
      </c>
      <c r="AD22">
        <v>86.574011999999996</v>
      </c>
      <c r="AE22">
        <v>35335</v>
      </c>
      <c r="AF22">
        <v>34569</v>
      </c>
      <c r="AG22" t="s">
        <v>66</v>
      </c>
      <c r="AH22" t="s">
        <v>119</v>
      </c>
      <c r="AI22" t="s">
        <v>47</v>
      </c>
      <c r="AJ22" t="s">
        <v>48</v>
      </c>
      <c r="AK22" t="s">
        <v>49</v>
      </c>
      <c r="AL22" t="s">
        <v>50</v>
      </c>
    </row>
    <row r="23" spans="1:38" x14ac:dyDescent="0.2">
      <c r="A23">
        <v>0</v>
      </c>
      <c r="B23">
        <v>2.21</v>
      </c>
      <c r="C23" t="s">
        <v>62</v>
      </c>
      <c r="D23" t="s">
        <v>44</v>
      </c>
      <c r="E23">
        <v>84.482439926062895</v>
      </c>
      <c r="F23">
        <v>1679</v>
      </c>
      <c r="G23">
        <v>84.442116291252006</v>
      </c>
      <c r="H23">
        <v>297</v>
      </c>
      <c r="I23">
        <v>15.517560073937201</v>
      </c>
      <c r="J23">
        <v>67.234634192490503</v>
      </c>
      <c r="K23">
        <v>84.482439926062895</v>
      </c>
      <c r="L23">
        <v>81.860034097850601</v>
      </c>
      <c r="M23">
        <v>60.689903374560501</v>
      </c>
      <c r="N23">
        <v>84.482439926062895</v>
      </c>
      <c r="O23">
        <v>84.482439926062796</v>
      </c>
      <c r="P23">
        <v>62.591831247683103</v>
      </c>
      <c r="Q23">
        <v>84.482439926062895</v>
      </c>
      <c r="R23">
        <v>82.681364112365003</v>
      </c>
      <c r="S23">
        <v>15.557883708747999</v>
      </c>
      <c r="T23">
        <v>67.067000278009502</v>
      </c>
      <c r="U23">
        <v>84.442116291252006</v>
      </c>
      <c r="V23">
        <v>81.823194434917795</v>
      </c>
      <c r="W23">
        <v>60.641820151679298</v>
      </c>
      <c r="X23">
        <v>84.442116291252006</v>
      </c>
      <c r="Y23">
        <v>84.442116291251907</v>
      </c>
      <c r="Z23">
        <v>62.518667187596101</v>
      </c>
      <c r="AA23">
        <v>84.442116291252006</v>
      </c>
      <c r="AB23">
        <v>82.6552050286937</v>
      </c>
      <c r="AC23">
        <v>113788.135325853</v>
      </c>
      <c r="AD23">
        <v>74.549611999999996</v>
      </c>
      <c r="AE23">
        <v>14067</v>
      </c>
      <c r="AF23">
        <v>12777</v>
      </c>
      <c r="AG23" t="s">
        <v>67</v>
      </c>
      <c r="AH23" t="s">
        <v>119</v>
      </c>
      <c r="AI23" t="s">
        <v>47</v>
      </c>
      <c r="AJ23" t="s">
        <v>48</v>
      </c>
      <c r="AK23" t="s">
        <v>49</v>
      </c>
      <c r="AL23" t="s">
        <v>50</v>
      </c>
    </row>
    <row r="24" spans="1:38" x14ac:dyDescent="0.2">
      <c r="A24">
        <v>0</v>
      </c>
      <c r="B24">
        <v>2.2200000000000002</v>
      </c>
      <c r="C24" t="s">
        <v>62</v>
      </c>
      <c r="D24" t="s">
        <v>44</v>
      </c>
      <c r="E24">
        <v>83.890942698706098</v>
      </c>
      <c r="F24">
        <v>1743</v>
      </c>
      <c r="G24">
        <v>84.127815610267106</v>
      </c>
      <c r="H24">
        <v>303</v>
      </c>
      <c r="I24">
        <v>16.109057301293898</v>
      </c>
      <c r="J24">
        <v>65.682438107377806</v>
      </c>
      <c r="K24">
        <v>83.890942698706098</v>
      </c>
      <c r="L24">
        <v>81.332110077928803</v>
      </c>
      <c r="M24">
        <v>60.2912048644721</v>
      </c>
      <c r="N24">
        <v>83.890942698706098</v>
      </c>
      <c r="O24">
        <v>83.890942698706098</v>
      </c>
      <c r="P24">
        <v>61.941473497098897</v>
      </c>
      <c r="Q24">
        <v>83.890942698706098</v>
      </c>
      <c r="R24">
        <v>82.232110962768601</v>
      </c>
      <c r="S24">
        <v>15.8721843897328</v>
      </c>
      <c r="T24">
        <v>67.123645384515001</v>
      </c>
      <c r="U24">
        <v>84.127815610267106</v>
      </c>
      <c r="V24">
        <v>82.3762154666111</v>
      </c>
      <c r="W24">
        <v>63.072372697724802</v>
      </c>
      <c r="X24">
        <v>84.127815610267106</v>
      </c>
      <c r="Y24">
        <v>84.127815610267106</v>
      </c>
      <c r="Z24">
        <v>64.590950912640295</v>
      </c>
      <c r="AA24">
        <v>84.127815610267106</v>
      </c>
      <c r="AB24">
        <v>83.066928035008104</v>
      </c>
      <c r="AC24">
        <v>198583.122269941</v>
      </c>
      <c r="AD24">
        <v>81.052265000000006</v>
      </c>
      <c r="AE24">
        <v>15839</v>
      </c>
      <c r="AF24">
        <v>14025</v>
      </c>
      <c r="AG24" t="s">
        <v>68</v>
      </c>
      <c r="AH24" t="s">
        <v>119</v>
      </c>
      <c r="AI24" t="s">
        <v>47</v>
      </c>
      <c r="AJ24" t="s">
        <v>48</v>
      </c>
      <c r="AK24" t="s">
        <v>49</v>
      </c>
      <c r="AL24" t="s">
        <v>50</v>
      </c>
    </row>
    <row r="25" spans="1:38" x14ac:dyDescent="0.2">
      <c r="A25">
        <v>0</v>
      </c>
      <c r="B25">
        <v>2.23</v>
      </c>
      <c r="C25" t="s">
        <v>69</v>
      </c>
      <c r="D25" t="s">
        <v>44</v>
      </c>
      <c r="E25">
        <v>85.378927911275397</v>
      </c>
      <c r="F25">
        <v>1582</v>
      </c>
      <c r="G25">
        <v>85.280251440544802</v>
      </c>
      <c r="H25">
        <v>281</v>
      </c>
      <c r="I25">
        <v>14.621072088724601</v>
      </c>
      <c r="J25">
        <v>75.434258762262601</v>
      </c>
      <c r="K25">
        <v>85.378927911275397</v>
      </c>
      <c r="L25">
        <v>82.544547434693101</v>
      </c>
      <c r="M25">
        <v>51.800489594763903</v>
      </c>
      <c r="N25">
        <v>85.378927911275397</v>
      </c>
      <c r="O25">
        <v>85.378927911275397</v>
      </c>
      <c r="P25">
        <v>49.773798939563299</v>
      </c>
      <c r="Q25">
        <v>85.378927911275397</v>
      </c>
      <c r="R25">
        <v>79.461675961421193</v>
      </c>
      <c r="S25">
        <v>14.7197485594552</v>
      </c>
      <c r="T25">
        <v>92.628541448058797</v>
      </c>
      <c r="U25">
        <v>85.280251440544802</v>
      </c>
      <c r="V25">
        <v>87.450371768565205</v>
      </c>
      <c r="W25">
        <v>50.528169014084497</v>
      </c>
      <c r="X25">
        <v>85.280251440544802</v>
      </c>
      <c r="Y25">
        <v>85.280251440544802</v>
      </c>
      <c r="Z25">
        <v>47.066253403157901</v>
      </c>
      <c r="AA25">
        <v>85.280251440544802</v>
      </c>
      <c r="AB25">
        <v>78.659947218284799</v>
      </c>
      <c r="AC25">
        <v>51667.7410882697</v>
      </c>
      <c r="AD25">
        <v>77.478313</v>
      </c>
      <c r="AE25">
        <v>20465</v>
      </c>
      <c r="AF25">
        <v>29235</v>
      </c>
      <c r="AG25" t="s">
        <v>70</v>
      </c>
      <c r="AH25" t="s">
        <v>119</v>
      </c>
      <c r="AI25" t="s">
        <v>47</v>
      </c>
      <c r="AJ25" t="s">
        <v>48</v>
      </c>
      <c r="AK25" t="s">
        <v>49</v>
      </c>
      <c r="AL25" t="s">
        <v>50</v>
      </c>
    </row>
    <row r="26" spans="1:38" x14ac:dyDescent="0.2">
      <c r="A26">
        <v>0</v>
      </c>
      <c r="B26">
        <v>2.2400000000000002</v>
      </c>
      <c r="C26" t="s">
        <v>69</v>
      </c>
      <c r="D26" t="s">
        <v>44</v>
      </c>
      <c r="E26">
        <v>85.4898336414048</v>
      </c>
      <c r="F26">
        <v>1570</v>
      </c>
      <c r="G26">
        <v>85.227867993714</v>
      </c>
      <c r="H26">
        <v>282</v>
      </c>
      <c r="I26">
        <v>14.5101663585952</v>
      </c>
      <c r="J26">
        <v>71.020954809952698</v>
      </c>
      <c r="K26">
        <v>85.4898336414048</v>
      </c>
      <c r="L26">
        <v>81.959012493442998</v>
      </c>
      <c r="M26">
        <v>55.703746661118899</v>
      </c>
      <c r="N26">
        <v>85.4898336414048</v>
      </c>
      <c r="O26">
        <v>85.4898336414048</v>
      </c>
      <c r="P26">
        <v>56.714172679960299</v>
      </c>
      <c r="Q26">
        <v>85.4898336414048</v>
      </c>
      <c r="R26">
        <v>81.490858313958498</v>
      </c>
      <c r="S26">
        <v>14.772132006286</v>
      </c>
      <c r="T26">
        <v>69.013499480789207</v>
      </c>
      <c r="U26">
        <v>85.227867993714</v>
      </c>
      <c r="V26">
        <v>81.589247413601299</v>
      </c>
      <c r="W26">
        <v>56.744745395449598</v>
      </c>
      <c r="X26">
        <v>85.227867993714</v>
      </c>
      <c r="Y26">
        <v>85.227867993714</v>
      </c>
      <c r="Z26">
        <v>58.205388585589397</v>
      </c>
      <c r="AA26">
        <v>85.227867993714</v>
      </c>
      <c r="AB26">
        <v>81.812649097833699</v>
      </c>
      <c r="AC26">
        <v>18512.0550776411</v>
      </c>
      <c r="AD26">
        <v>52.297058999999997</v>
      </c>
      <c r="AE26">
        <v>20499</v>
      </c>
      <c r="AF26">
        <v>29235</v>
      </c>
      <c r="AG26" t="s">
        <v>71</v>
      </c>
      <c r="AH26" t="s">
        <v>119</v>
      </c>
      <c r="AI26" t="s">
        <v>47</v>
      </c>
      <c r="AJ26" t="s">
        <v>48</v>
      </c>
      <c r="AK26" t="s">
        <v>49</v>
      </c>
      <c r="AL26" t="s">
        <v>50</v>
      </c>
    </row>
    <row r="27" spans="1:38" x14ac:dyDescent="0.2">
      <c r="A27">
        <v>0</v>
      </c>
      <c r="B27">
        <v>2.2999999999999998</v>
      </c>
      <c r="C27" t="s">
        <v>45</v>
      </c>
      <c r="D27" t="s">
        <v>44</v>
      </c>
      <c r="E27">
        <v>85.360443622920499</v>
      </c>
      <c r="F27">
        <v>1584</v>
      </c>
      <c r="G27">
        <v>84.651650078575202</v>
      </c>
      <c r="H27">
        <v>293</v>
      </c>
      <c r="I27">
        <v>14.639556377079501</v>
      </c>
      <c r="J27">
        <v>69.9423619414179</v>
      </c>
      <c r="K27">
        <v>85.360443622920499</v>
      </c>
      <c r="L27">
        <v>81.738871656636803</v>
      </c>
      <c r="M27">
        <v>56.2162339146238</v>
      </c>
      <c r="N27">
        <v>85.360443622920499</v>
      </c>
      <c r="O27">
        <v>85.360443622920499</v>
      </c>
      <c r="P27">
        <v>57.4715042939714</v>
      </c>
      <c r="Q27">
        <v>85.360443622920499</v>
      </c>
      <c r="R27">
        <v>81.649133047988499</v>
      </c>
      <c r="S27">
        <v>15.3483499214248</v>
      </c>
      <c r="T27">
        <v>66.376663520283799</v>
      </c>
      <c r="U27">
        <v>84.651650078575202</v>
      </c>
      <c r="V27">
        <v>80.834927222153297</v>
      </c>
      <c r="W27">
        <v>56.842145178764902</v>
      </c>
      <c r="X27">
        <v>84.651650078575202</v>
      </c>
      <c r="Y27">
        <v>84.651650078575202</v>
      </c>
      <c r="Z27">
        <v>58.2570933246365</v>
      </c>
      <c r="AA27">
        <v>84.651650078575202</v>
      </c>
      <c r="AB27">
        <v>81.574023895803705</v>
      </c>
      <c r="AC27">
        <v>42904.329689241</v>
      </c>
      <c r="AD27">
        <v>39.621220999999998</v>
      </c>
      <c r="AE27">
        <v>8298</v>
      </c>
      <c r="AF27">
        <v>7849</v>
      </c>
      <c r="AG27" t="s">
        <v>72</v>
      </c>
      <c r="AH27" t="s">
        <v>119</v>
      </c>
      <c r="AI27" t="s">
        <v>47</v>
      </c>
      <c r="AJ27" t="s">
        <v>48</v>
      </c>
      <c r="AK27" t="s">
        <v>49</v>
      </c>
      <c r="AL27" t="s">
        <v>50</v>
      </c>
    </row>
    <row r="28" spans="1:38" x14ac:dyDescent="0.2">
      <c r="A28">
        <v>0</v>
      </c>
      <c r="B28">
        <v>2.4</v>
      </c>
      <c r="C28" t="s">
        <v>73</v>
      </c>
      <c r="D28" t="s">
        <v>44</v>
      </c>
      <c r="E28">
        <v>86.497227356746805</v>
      </c>
      <c r="F28">
        <v>1461</v>
      </c>
      <c r="G28">
        <v>86.537454164484004</v>
      </c>
      <c r="H28">
        <v>257</v>
      </c>
      <c r="I28">
        <v>13.5027726432532</v>
      </c>
      <c r="J28">
        <v>74.802687278037695</v>
      </c>
      <c r="K28">
        <v>86.497227356746805</v>
      </c>
      <c r="L28">
        <v>84.147493341352899</v>
      </c>
      <c r="M28">
        <v>61.157211983106698</v>
      </c>
      <c r="N28">
        <v>86.497227356746805</v>
      </c>
      <c r="O28">
        <v>86.497227356746805</v>
      </c>
      <c r="P28">
        <v>64.034099398311398</v>
      </c>
      <c r="Q28">
        <v>86.497227356746805</v>
      </c>
      <c r="R28">
        <v>83.988481338701405</v>
      </c>
      <c r="S28">
        <v>13.462545835516</v>
      </c>
      <c r="T28">
        <v>74.178149006218703</v>
      </c>
      <c r="U28">
        <v>86.537454164484004</v>
      </c>
      <c r="V28">
        <v>84.339907569820099</v>
      </c>
      <c r="W28">
        <v>62.8895991332611</v>
      </c>
      <c r="X28">
        <v>86.537454164484004</v>
      </c>
      <c r="Y28">
        <v>86.537454164484004</v>
      </c>
      <c r="Z28">
        <v>65.836771500294205</v>
      </c>
      <c r="AA28">
        <v>86.537454164484004</v>
      </c>
      <c r="AB28">
        <v>84.517535600347102</v>
      </c>
      <c r="AC28">
        <v>16534.5582965432</v>
      </c>
      <c r="AD28">
        <v>37.947937000000003</v>
      </c>
      <c r="AE28">
        <v>5033052</v>
      </c>
      <c r="AF28">
        <v>19956</v>
      </c>
      <c r="AG28" t="s">
        <v>47</v>
      </c>
      <c r="AH28" t="s">
        <v>119</v>
      </c>
      <c r="AI28" t="s">
        <v>47</v>
      </c>
      <c r="AJ28" t="s">
        <v>48</v>
      </c>
      <c r="AK28" t="s">
        <v>49</v>
      </c>
      <c r="AL28" t="s">
        <v>50</v>
      </c>
    </row>
    <row r="29" spans="1:38" x14ac:dyDescent="0.2">
      <c r="A29">
        <v>0</v>
      </c>
      <c r="B29">
        <v>2.5</v>
      </c>
      <c r="C29" t="s">
        <v>74</v>
      </c>
      <c r="D29" t="s">
        <v>44</v>
      </c>
      <c r="E29">
        <v>85.101663585951897</v>
      </c>
      <c r="F29">
        <v>1612</v>
      </c>
      <c r="G29">
        <v>85.123101100052395</v>
      </c>
      <c r="H29">
        <v>284</v>
      </c>
      <c r="I29">
        <v>14.898336414048099</v>
      </c>
      <c r="J29" t="s">
        <v>52</v>
      </c>
      <c r="K29">
        <v>85.101663585951897</v>
      </c>
      <c r="L29" t="s">
        <v>52</v>
      </c>
      <c r="M29">
        <v>50</v>
      </c>
      <c r="N29">
        <v>85.101663585951897</v>
      </c>
      <c r="O29">
        <v>85.101663585951897</v>
      </c>
      <c r="P29">
        <v>45.975634112242901</v>
      </c>
      <c r="Q29">
        <v>85.101663585951897</v>
      </c>
      <c r="R29">
        <v>78.252058947418206</v>
      </c>
      <c r="S29">
        <v>14.8768988999476</v>
      </c>
      <c r="T29" t="s">
        <v>52</v>
      </c>
      <c r="U29">
        <v>85.123101100052395</v>
      </c>
      <c r="V29" t="s">
        <v>52</v>
      </c>
      <c r="W29">
        <v>50</v>
      </c>
      <c r="X29">
        <v>85.123101100052395</v>
      </c>
      <c r="Y29">
        <v>85.123101100052395</v>
      </c>
      <c r="Z29">
        <v>45.9818902093945</v>
      </c>
      <c r="AA29">
        <v>85.123101100052395</v>
      </c>
      <c r="AB29">
        <v>78.282421781315904</v>
      </c>
      <c r="AC29">
        <v>31798.651643126301</v>
      </c>
      <c r="AD29">
        <v>35.209055999999997</v>
      </c>
      <c r="AE29">
        <v>14563</v>
      </c>
      <c r="AF29">
        <v>7987</v>
      </c>
      <c r="AG29" t="s">
        <v>75</v>
      </c>
      <c r="AH29" t="s">
        <v>119</v>
      </c>
      <c r="AI29" t="s">
        <v>47</v>
      </c>
      <c r="AJ29" t="s">
        <v>48</v>
      </c>
      <c r="AK29" t="s">
        <v>49</v>
      </c>
      <c r="AL29" t="s">
        <v>50</v>
      </c>
    </row>
    <row r="30" spans="1:38" x14ac:dyDescent="0.2">
      <c r="A30">
        <v>0</v>
      </c>
      <c r="B30">
        <v>2.6</v>
      </c>
      <c r="C30" t="s">
        <v>76</v>
      </c>
      <c r="D30" t="s">
        <v>44</v>
      </c>
      <c r="E30">
        <v>85.101663585951897</v>
      </c>
      <c r="F30">
        <v>1612</v>
      </c>
      <c r="G30">
        <v>85.123101100052395</v>
      </c>
      <c r="H30">
        <v>284</v>
      </c>
      <c r="I30">
        <v>14.898336414048099</v>
      </c>
      <c r="J30" t="s">
        <v>52</v>
      </c>
      <c r="K30">
        <v>85.101663585951897</v>
      </c>
      <c r="L30" t="s">
        <v>52</v>
      </c>
      <c r="M30">
        <v>50</v>
      </c>
      <c r="N30">
        <v>85.101663585951897</v>
      </c>
      <c r="O30">
        <v>85.101663585951897</v>
      </c>
      <c r="P30">
        <v>45.975634112242901</v>
      </c>
      <c r="Q30">
        <v>85.101663585951897</v>
      </c>
      <c r="R30">
        <v>78.252058947418206</v>
      </c>
      <c r="S30">
        <v>14.8768988999476</v>
      </c>
      <c r="T30" t="s">
        <v>52</v>
      </c>
      <c r="U30">
        <v>85.123101100052395</v>
      </c>
      <c r="V30" t="s">
        <v>52</v>
      </c>
      <c r="W30">
        <v>50</v>
      </c>
      <c r="X30">
        <v>85.123101100052395</v>
      </c>
      <c r="Y30">
        <v>85.123101100052395</v>
      </c>
      <c r="Z30">
        <v>45.9818902093945</v>
      </c>
      <c r="AA30">
        <v>85.123101100052395</v>
      </c>
      <c r="AB30">
        <v>78.282421781315904</v>
      </c>
      <c r="AC30">
        <v>20245.528488751799</v>
      </c>
      <c r="AD30">
        <v>34.069316000000001</v>
      </c>
      <c r="AE30">
        <v>14521</v>
      </c>
      <c r="AF30">
        <v>7987</v>
      </c>
      <c r="AG30" t="s">
        <v>77</v>
      </c>
      <c r="AH30" t="s">
        <v>119</v>
      </c>
      <c r="AI30" t="s">
        <v>47</v>
      </c>
      <c r="AJ30" t="s">
        <v>48</v>
      </c>
      <c r="AK30" t="s">
        <v>49</v>
      </c>
      <c r="AL30" t="s">
        <v>50</v>
      </c>
    </row>
    <row r="31" spans="1:38" x14ac:dyDescent="0.2">
      <c r="A31">
        <v>0</v>
      </c>
      <c r="B31">
        <v>2.7</v>
      </c>
      <c r="C31" t="s">
        <v>78</v>
      </c>
      <c r="D31" t="s">
        <v>44</v>
      </c>
      <c r="E31">
        <v>83.927911275415894</v>
      </c>
      <c r="F31">
        <v>1739</v>
      </c>
      <c r="G31">
        <v>83.918281822943996</v>
      </c>
      <c r="H31">
        <v>307</v>
      </c>
      <c r="I31">
        <v>16.072088724584098</v>
      </c>
      <c r="J31">
        <v>65.646401906557699</v>
      </c>
      <c r="K31">
        <v>83.927911275415894</v>
      </c>
      <c r="L31">
        <v>81.259887983221404</v>
      </c>
      <c r="M31">
        <v>60.005877400814498</v>
      </c>
      <c r="N31">
        <v>83.927911275415894</v>
      </c>
      <c r="O31">
        <v>83.927911275415894</v>
      </c>
      <c r="P31">
        <v>61.672296359668898</v>
      </c>
      <c r="Q31">
        <v>83.927911275415894</v>
      </c>
      <c r="R31">
        <v>82.176074516129106</v>
      </c>
      <c r="S31">
        <v>16.081718177056</v>
      </c>
      <c r="T31">
        <v>65.716592519360702</v>
      </c>
      <c r="U31">
        <v>83.918281822943996</v>
      </c>
      <c r="V31">
        <v>81.373080881198504</v>
      </c>
      <c r="W31">
        <v>60.334127843986998</v>
      </c>
      <c r="X31">
        <v>83.918281822943996</v>
      </c>
      <c r="Y31">
        <v>83.918281822943896</v>
      </c>
      <c r="Z31">
        <v>61.987921760613197</v>
      </c>
      <c r="AA31">
        <v>83.918281822943996</v>
      </c>
      <c r="AB31">
        <v>82.269723721706697</v>
      </c>
      <c r="AC31">
        <v>22025.086614365599</v>
      </c>
      <c r="AD31">
        <v>31.922644999999999</v>
      </c>
      <c r="AE31">
        <v>17955</v>
      </c>
      <c r="AF31">
        <v>17513</v>
      </c>
      <c r="AG31" t="s">
        <v>79</v>
      </c>
      <c r="AH31" t="s">
        <v>119</v>
      </c>
      <c r="AI31" t="s">
        <v>47</v>
      </c>
      <c r="AJ31" t="s">
        <v>48</v>
      </c>
      <c r="AK31" t="s">
        <v>49</v>
      </c>
      <c r="AL31" t="s">
        <v>50</v>
      </c>
    </row>
    <row r="32" spans="1:38" x14ac:dyDescent="0.2">
      <c r="A32">
        <v>0</v>
      </c>
      <c r="B32">
        <v>2.8</v>
      </c>
      <c r="C32" t="s">
        <v>78</v>
      </c>
      <c r="D32" t="s">
        <v>44</v>
      </c>
      <c r="E32">
        <v>85.175600739371504</v>
      </c>
      <c r="F32">
        <v>1604</v>
      </c>
      <c r="G32">
        <v>84.965950759560002</v>
      </c>
      <c r="H32">
        <v>287</v>
      </c>
      <c r="I32">
        <v>14.8243992606285</v>
      </c>
      <c r="J32">
        <v>68.849444699619596</v>
      </c>
      <c r="K32">
        <v>85.175600739371504</v>
      </c>
      <c r="L32">
        <v>81.550538644514702</v>
      </c>
      <c r="M32">
        <v>56.900839274511497</v>
      </c>
      <c r="N32">
        <v>85.175600739371504</v>
      </c>
      <c r="O32">
        <v>85.175600739371504</v>
      </c>
      <c r="P32">
        <v>58.410543973160799</v>
      </c>
      <c r="Q32">
        <v>85.175600739371504</v>
      </c>
      <c r="R32">
        <v>81.833052175480702</v>
      </c>
      <c r="S32">
        <v>15.03404924044</v>
      </c>
      <c r="T32">
        <v>67.575164109817607</v>
      </c>
      <c r="U32">
        <v>84.965950759560002</v>
      </c>
      <c r="V32">
        <v>81.078953859270101</v>
      </c>
      <c r="W32">
        <v>56.300325027085599</v>
      </c>
      <c r="X32">
        <v>84.965950759560002</v>
      </c>
      <c r="Y32">
        <v>84.965950759560002</v>
      </c>
      <c r="Z32">
        <v>57.565456481750402</v>
      </c>
      <c r="AA32">
        <v>84.965950759560002</v>
      </c>
      <c r="AB32">
        <v>81.518561323042903</v>
      </c>
      <c r="AC32">
        <v>521.01925040931599</v>
      </c>
      <c r="AD32">
        <v>116.497574</v>
      </c>
      <c r="AE32">
        <v>8060259</v>
      </c>
      <c r="AF32">
        <v>3999995</v>
      </c>
      <c r="AG32" t="s">
        <v>80</v>
      </c>
      <c r="AH32" t="s">
        <v>119</v>
      </c>
      <c r="AI32" t="s">
        <v>47</v>
      </c>
      <c r="AJ32" t="s">
        <v>48</v>
      </c>
      <c r="AK32" t="s">
        <v>49</v>
      </c>
      <c r="AL32" t="s">
        <v>50</v>
      </c>
    </row>
    <row r="33" spans="1:38" x14ac:dyDescent="0.2">
      <c r="A33">
        <v>0</v>
      </c>
      <c r="B33">
        <v>2.9</v>
      </c>
      <c r="C33" t="s">
        <v>51</v>
      </c>
      <c r="D33" t="s">
        <v>44</v>
      </c>
      <c r="E33">
        <v>85.101663585951897</v>
      </c>
      <c r="F33">
        <v>1612</v>
      </c>
      <c r="G33">
        <v>85.123101100052395</v>
      </c>
      <c r="H33">
        <v>284</v>
      </c>
      <c r="I33">
        <v>14.898336414048099</v>
      </c>
      <c r="J33" t="s">
        <v>52</v>
      </c>
      <c r="K33">
        <v>85.101663585951897</v>
      </c>
      <c r="L33" t="s">
        <v>52</v>
      </c>
      <c r="M33">
        <v>50</v>
      </c>
      <c r="N33">
        <v>85.101663585951897</v>
      </c>
      <c r="O33">
        <v>85.101663585951897</v>
      </c>
      <c r="P33">
        <v>45.975634112242901</v>
      </c>
      <c r="Q33">
        <v>85.101663585951897</v>
      </c>
      <c r="R33">
        <v>78.252058947418206</v>
      </c>
      <c r="S33">
        <v>14.8768988999476</v>
      </c>
      <c r="T33" t="s">
        <v>52</v>
      </c>
      <c r="U33">
        <v>85.123101100052395</v>
      </c>
      <c r="V33" t="s">
        <v>52</v>
      </c>
      <c r="W33">
        <v>50</v>
      </c>
      <c r="X33">
        <v>85.123101100052395</v>
      </c>
      <c r="Y33">
        <v>85.123101100052395</v>
      </c>
      <c r="Z33">
        <v>45.9818902093945</v>
      </c>
      <c r="AA33">
        <v>85.123101100052395</v>
      </c>
      <c r="AB33">
        <v>78.282421781315904</v>
      </c>
      <c r="AC33">
        <v>5172.0173783607997</v>
      </c>
      <c r="AD33">
        <v>28.822692</v>
      </c>
      <c r="AE33">
        <v>841582</v>
      </c>
      <c r="AF33">
        <v>841053</v>
      </c>
      <c r="AG33" t="s">
        <v>81</v>
      </c>
      <c r="AH33" t="s">
        <v>119</v>
      </c>
      <c r="AI33" t="s">
        <v>47</v>
      </c>
      <c r="AJ33" t="s">
        <v>48</v>
      </c>
      <c r="AK33" t="s">
        <v>49</v>
      </c>
      <c r="AL33" t="s">
        <v>50</v>
      </c>
    </row>
  </sheetData>
  <sortState xmlns:xlrd2="http://schemas.microsoft.com/office/spreadsheetml/2017/richdata2" ref="A10:AL33">
    <sortCondition ref="B10:B33"/>
  </sortState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1C11-CC63-452F-A397-615FAA7D37D4}">
  <dimension ref="A1:AL33"/>
  <sheetViews>
    <sheetView workbookViewId="0">
      <selection activeCell="W9" sqref="W9"/>
    </sheetView>
  </sheetViews>
  <sheetFormatPr baseColWidth="10" defaultColWidth="8.83203125" defaultRowHeight="15.75" customHeight="1" x14ac:dyDescent="0.2"/>
  <sheetData>
    <row r="1" spans="1:38" ht="16" x14ac:dyDescent="0.2">
      <c r="A1" t="s">
        <v>0</v>
      </c>
    </row>
    <row r="2" spans="1:38" ht="16" x14ac:dyDescent="0.2">
      <c r="A2" t="s">
        <v>115</v>
      </c>
    </row>
    <row r="3" spans="1:38" ht="16" x14ac:dyDescent="0.2">
      <c r="A3" t="s">
        <v>116</v>
      </c>
    </row>
    <row r="4" spans="1:38" ht="16" x14ac:dyDescent="0.2">
      <c r="A4" t="s">
        <v>117</v>
      </c>
    </row>
    <row r="5" spans="1:38" ht="16" x14ac:dyDescent="0.2">
      <c r="A5" t="s">
        <v>4</v>
      </c>
    </row>
    <row r="6" spans="1:38" ht="16" x14ac:dyDescent="0.2">
      <c r="A6" t="s">
        <v>118</v>
      </c>
    </row>
    <row r="9" spans="1:38" ht="16" x14ac:dyDescent="0.2">
      <c r="A9" t="s">
        <v>6</v>
      </c>
      <c r="B9" t="s">
        <v>7</v>
      </c>
      <c r="C9" t="s">
        <v>9</v>
      </c>
      <c r="D9" t="s">
        <v>8</v>
      </c>
      <c r="E9" t="s">
        <v>10</v>
      </c>
      <c r="F9" t="s">
        <v>11</v>
      </c>
      <c r="G9" t="s">
        <v>22</v>
      </c>
      <c r="H9" t="s">
        <v>23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  <c r="Q9" t="s">
        <v>20</v>
      </c>
      <c r="R9" t="s">
        <v>21</v>
      </c>
      <c r="S9" t="s">
        <v>24</v>
      </c>
      <c r="T9" t="s">
        <v>25</v>
      </c>
      <c r="U9" t="s">
        <v>26</v>
      </c>
      <c r="V9" t="s">
        <v>27</v>
      </c>
      <c r="W9" t="s">
        <v>28</v>
      </c>
      <c r="X9" t="s">
        <v>29</v>
      </c>
      <c r="Y9" t="s">
        <v>30</v>
      </c>
      <c r="Z9" t="s">
        <v>31</v>
      </c>
      <c r="AA9" t="s">
        <v>32</v>
      </c>
      <c r="AB9" t="s">
        <v>33</v>
      </c>
      <c r="AC9" t="s">
        <v>34</v>
      </c>
      <c r="AD9" t="s">
        <v>35</v>
      </c>
      <c r="AE9" t="s">
        <v>36</v>
      </c>
      <c r="AF9" t="s">
        <v>37</v>
      </c>
      <c r="AG9" t="s">
        <v>38</v>
      </c>
      <c r="AH9" t="s">
        <v>39</v>
      </c>
      <c r="AI9" t="s">
        <v>40</v>
      </c>
      <c r="AJ9" t="s">
        <v>41</v>
      </c>
      <c r="AK9" t="s">
        <v>42</v>
      </c>
      <c r="AL9" t="s">
        <v>43</v>
      </c>
    </row>
    <row r="10" spans="1:38" ht="16" x14ac:dyDescent="0.2">
      <c r="A10">
        <v>0</v>
      </c>
      <c r="B10">
        <v>2.1</v>
      </c>
      <c r="C10" t="s">
        <v>45</v>
      </c>
      <c r="D10" t="s">
        <v>44</v>
      </c>
      <c r="E10">
        <v>84.648798521256893</v>
      </c>
      <c r="F10">
        <v>1661</v>
      </c>
      <c r="G10">
        <v>85.070717653221607</v>
      </c>
      <c r="H10">
        <v>285</v>
      </c>
      <c r="I10">
        <v>15.3512014787431</v>
      </c>
      <c r="J10">
        <v>67.241184516612194</v>
      </c>
      <c r="K10">
        <v>84.648798521256893</v>
      </c>
      <c r="L10">
        <v>81.536128946804794</v>
      </c>
      <c r="M10">
        <v>59.150056698997297</v>
      </c>
      <c r="N10">
        <v>84.648798521256893</v>
      </c>
      <c r="O10">
        <v>84.648798521256893</v>
      </c>
      <c r="P10">
        <v>61.036668872172598</v>
      </c>
      <c r="Q10">
        <v>84.648798521256893</v>
      </c>
      <c r="R10">
        <v>82.330475926006699</v>
      </c>
      <c r="S10">
        <v>14.9292823467784</v>
      </c>
      <c r="T10">
        <v>68.842417784366901</v>
      </c>
      <c r="U10">
        <v>85.070717653221607</v>
      </c>
      <c r="V10">
        <v>82.317433341106295</v>
      </c>
      <c r="W10">
        <v>60.575189599133303</v>
      </c>
      <c r="X10">
        <v>85.070717653221607</v>
      </c>
      <c r="Y10">
        <v>85.070717653221607</v>
      </c>
      <c r="Z10">
        <v>62.730091923740098</v>
      </c>
      <c r="AA10">
        <v>85.070717653221607</v>
      </c>
      <c r="AB10">
        <v>82.999901871801399</v>
      </c>
      <c r="AC10">
        <v>418584.858215018</v>
      </c>
      <c r="AD10">
        <v>4.7482199999999999</v>
      </c>
      <c r="AE10">
        <v>35026</v>
      </c>
      <c r="AF10">
        <v>26745</v>
      </c>
      <c r="AG10" t="s">
        <v>46</v>
      </c>
      <c r="AH10" t="s">
        <v>119</v>
      </c>
      <c r="AI10" t="s">
        <v>47</v>
      </c>
      <c r="AJ10" t="s">
        <v>48</v>
      </c>
      <c r="AK10" t="s">
        <v>49</v>
      </c>
      <c r="AL10" t="s">
        <v>50</v>
      </c>
    </row>
    <row r="11" spans="1:38" ht="16" x14ac:dyDescent="0.2">
      <c r="A11">
        <v>0</v>
      </c>
      <c r="B11">
        <v>2.1</v>
      </c>
      <c r="C11" t="s">
        <v>51</v>
      </c>
      <c r="D11" t="s">
        <v>44</v>
      </c>
      <c r="E11">
        <v>85.822550831792995</v>
      </c>
      <c r="F11">
        <v>1534</v>
      </c>
      <c r="G11">
        <v>85.961236249345205</v>
      </c>
      <c r="H11">
        <v>268</v>
      </c>
      <c r="I11">
        <v>14.177449168207</v>
      </c>
      <c r="J11">
        <v>75.260399485386301</v>
      </c>
      <c r="K11">
        <v>85.822550831792995</v>
      </c>
      <c r="L11">
        <v>83.074005019794697</v>
      </c>
      <c r="M11">
        <v>54.952498420835902</v>
      </c>
      <c r="N11">
        <v>85.822550831792995</v>
      </c>
      <c r="O11">
        <v>85.822550831792995</v>
      </c>
      <c r="P11">
        <v>55.491848926690999</v>
      </c>
      <c r="Q11">
        <v>85.822550831792995</v>
      </c>
      <c r="R11">
        <v>81.285849337702501</v>
      </c>
      <c r="S11">
        <v>14.0387637506548</v>
      </c>
      <c r="T11">
        <v>79.223764608174605</v>
      </c>
      <c r="U11">
        <v>85.961236249345205</v>
      </c>
      <c r="V11">
        <v>84.142082229736801</v>
      </c>
      <c r="W11">
        <v>54.2697724810401</v>
      </c>
      <c r="X11">
        <v>85.961236249345205</v>
      </c>
      <c r="Y11">
        <v>85.961236249345205</v>
      </c>
      <c r="Z11">
        <v>54.294239565466</v>
      </c>
      <c r="AA11">
        <v>85.961236249345205</v>
      </c>
      <c r="AB11">
        <v>81.018873016115506</v>
      </c>
      <c r="AC11">
        <v>11376.6958584411</v>
      </c>
      <c r="AD11">
        <v>69.078384</v>
      </c>
      <c r="AE11">
        <v>838630</v>
      </c>
      <c r="AF11">
        <v>838325</v>
      </c>
      <c r="AG11" t="s">
        <v>53</v>
      </c>
      <c r="AH11" t="s">
        <v>119</v>
      </c>
      <c r="AI11" t="s">
        <v>47</v>
      </c>
      <c r="AJ11" t="s">
        <v>48</v>
      </c>
      <c r="AK11" t="s">
        <v>49</v>
      </c>
      <c r="AL11" t="s">
        <v>50</v>
      </c>
    </row>
    <row r="12" spans="1:38" ht="16" x14ac:dyDescent="0.2">
      <c r="A12">
        <v>0</v>
      </c>
      <c r="B12">
        <v>2.11</v>
      </c>
      <c r="C12" t="s">
        <v>51</v>
      </c>
      <c r="D12" t="s">
        <v>44</v>
      </c>
      <c r="E12">
        <v>83.752310536044405</v>
      </c>
      <c r="F12">
        <v>1758</v>
      </c>
      <c r="G12">
        <v>84.442116291252006</v>
      </c>
      <c r="H12">
        <v>297</v>
      </c>
      <c r="I12">
        <v>16.247689463955599</v>
      </c>
      <c r="J12">
        <v>65.681043435246593</v>
      </c>
      <c r="K12">
        <v>83.752310536044405</v>
      </c>
      <c r="L12">
        <v>81.488199687855996</v>
      </c>
      <c r="M12">
        <v>61.002960528443303</v>
      </c>
      <c r="N12">
        <v>83.752310536044405</v>
      </c>
      <c r="O12">
        <v>83.752310536044405</v>
      </c>
      <c r="P12">
        <v>62.565416587946302</v>
      </c>
      <c r="Q12">
        <v>83.752310536044405</v>
      </c>
      <c r="R12">
        <v>82.336380522805399</v>
      </c>
      <c r="S12">
        <v>15.557883708747999</v>
      </c>
      <c r="T12">
        <v>66.879707995230206</v>
      </c>
      <c r="U12">
        <v>84.442116291252006</v>
      </c>
      <c r="V12">
        <v>81.645344061039097</v>
      </c>
      <c r="W12">
        <v>60.060671722643598</v>
      </c>
      <c r="X12">
        <v>84.442116291252006</v>
      </c>
      <c r="Y12">
        <v>84.442116291252006</v>
      </c>
      <c r="Z12">
        <v>61.929136475437097</v>
      </c>
      <c r="AA12">
        <v>84.442116291252006</v>
      </c>
      <c r="AB12">
        <v>82.494467492472296</v>
      </c>
      <c r="AC12">
        <v>13086.583107664401</v>
      </c>
      <c r="AD12">
        <v>77.622979999999998</v>
      </c>
      <c r="AE12">
        <v>914270</v>
      </c>
      <c r="AF12">
        <v>913965</v>
      </c>
      <c r="AG12" t="s">
        <v>54</v>
      </c>
      <c r="AH12" t="s">
        <v>119</v>
      </c>
      <c r="AI12" t="s">
        <v>47</v>
      </c>
      <c r="AJ12" t="s">
        <v>48</v>
      </c>
      <c r="AK12" t="s">
        <v>49</v>
      </c>
      <c r="AL12" t="s">
        <v>50</v>
      </c>
    </row>
    <row r="13" spans="1:38" ht="16" x14ac:dyDescent="0.2">
      <c r="A13">
        <v>0</v>
      </c>
      <c r="B13">
        <v>2.12</v>
      </c>
      <c r="C13" t="s">
        <v>51</v>
      </c>
      <c r="D13" t="s">
        <v>44</v>
      </c>
      <c r="E13">
        <v>85.101663585951897</v>
      </c>
      <c r="F13">
        <v>1612</v>
      </c>
      <c r="G13">
        <v>85.123101100052395</v>
      </c>
      <c r="H13">
        <v>284</v>
      </c>
      <c r="I13">
        <v>14.898336414048099</v>
      </c>
      <c r="J13" t="s">
        <v>52</v>
      </c>
      <c r="K13">
        <v>85.101663585951897</v>
      </c>
      <c r="L13" t="s">
        <v>52</v>
      </c>
      <c r="M13">
        <v>50</v>
      </c>
      <c r="N13">
        <v>85.101663585951897</v>
      </c>
      <c r="O13">
        <v>85.101663585951897</v>
      </c>
      <c r="P13">
        <v>45.975634112242901</v>
      </c>
      <c r="Q13">
        <v>85.101663585951897</v>
      </c>
      <c r="R13">
        <v>78.252058947418206</v>
      </c>
      <c r="S13">
        <v>14.8768988999476</v>
      </c>
      <c r="T13" t="s">
        <v>52</v>
      </c>
      <c r="U13">
        <v>85.123101100052395</v>
      </c>
      <c r="V13" t="s">
        <v>52</v>
      </c>
      <c r="W13">
        <v>50</v>
      </c>
      <c r="X13">
        <v>85.123101100052395</v>
      </c>
      <c r="Y13">
        <v>85.123101100052395</v>
      </c>
      <c r="Z13">
        <v>45.9818902093945</v>
      </c>
      <c r="AA13">
        <v>85.123101100052395</v>
      </c>
      <c r="AB13">
        <v>78.282421781315904</v>
      </c>
      <c r="AC13">
        <v>4294.08531418854</v>
      </c>
      <c r="AD13">
        <v>52.804293999999999</v>
      </c>
      <c r="AE13">
        <v>2691930</v>
      </c>
      <c r="AF13">
        <v>2691629</v>
      </c>
      <c r="AG13" t="s">
        <v>120</v>
      </c>
      <c r="AH13" t="s">
        <v>119</v>
      </c>
      <c r="AI13" t="s">
        <v>47</v>
      </c>
      <c r="AJ13" t="s">
        <v>48</v>
      </c>
      <c r="AK13" t="s">
        <v>49</v>
      </c>
      <c r="AL13" t="s">
        <v>50</v>
      </c>
    </row>
    <row r="14" spans="1:38" ht="15" customHeight="1" x14ac:dyDescent="0.2">
      <c r="A14">
        <v>0</v>
      </c>
      <c r="B14">
        <v>2.13</v>
      </c>
      <c r="C14" t="s">
        <v>51</v>
      </c>
      <c r="D14" t="s">
        <v>44</v>
      </c>
      <c r="E14">
        <v>85.7024029574861</v>
      </c>
      <c r="F14">
        <v>1547</v>
      </c>
      <c r="G14">
        <v>85.751702462021996</v>
      </c>
      <c r="H14">
        <v>272</v>
      </c>
      <c r="I14">
        <v>14.2975970425139</v>
      </c>
      <c r="J14">
        <v>76.278007063497398</v>
      </c>
      <c r="K14">
        <v>85.7024029574861</v>
      </c>
      <c r="L14">
        <v>83.144275163510699</v>
      </c>
      <c r="M14">
        <v>53.7048914203422</v>
      </c>
      <c r="N14">
        <v>85.7024029574861</v>
      </c>
      <c r="O14">
        <v>85.7024029574861</v>
      </c>
      <c r="P14">
        <v>53.341111050622096</v>
      </c>
      <c r="Q14">
        <v>85.7024029574861</v>
      </c>
      <c r="R14">
        <v>80.620699700554297</v>
      </c>
      <c r="S14">
        <v>14.248297537978001</v>
      </c>
      <c r="T14">
        <v>77.395777836973906</v>
      </c>
      <c r="U14">
        <v>85.751702462021996</v>
      </c>
      <c r="V14">
        <v>83.469108418106401</v>
      </c>
      <c r="W14">
        <v>53.565547128927399</v>
      </c>
      <c r="X14">
        <v>85.751702462021996</v>
      </c>
      <c r="Y14">
        <v>85.751702462021996</v>
      </c>
      <c r="Z14">
        <v>53.0785301708246</v>
      </c>
      <c r="AA14">
        <v>85.751702462021996</v>
      </c>
      <c r="AB14">
        <v>80.583065037425797</v>
      </c>
      <c r="AC14">
        <v>8470.9271829078298</v>
      </c>
      <c r="AD14">
        <v>31.527626999999999</v>
      </c>
      <c r="AE14">
        <v>1043722</v>
      </c>
      <c r="AF14">
        <v>1043421</v>
      </c>
      <c r="AG14" t="s">
        <v>121</v>
      </c>
      <c r="AH14" t="s">
        <v>119</v>
      </c>
      <c r="AI14" t="s">
        <v>47</v>
      </c>
      <c r="AJ14" t="s">
        <v>48</v>
      </c>
      <c r="AK14" t="s">
        <v>49</v>
      </c>
      <c r="AL14" t="s">
        <v>50</v>
      </c>
    </row>
    <row r="15" spans="1:38" ht="16" x14ac:dyDescent="0.2">
      <c r="A15">
        <v>0</v>
      </c>
      <c r="B15">
        <v>2.14</v>
      </c>
      <c r="C15" t="s">
        <v>51</v>
      </c>
      <c r="D15" t="s">
        <v>44</v>
      </c>
      <c r="E15">
        <v>85.101663585951897</v>
      </c>
      <c r="F15">
        <v>1612</v>
      </c>
      <c r="G15">
        <v>85.123101100052395</v>
      </c>
      <c r="H15">
        <v>284</v>
      </c>
      <c r="I15">
        <v>14.898336414048099</v>
      </c>
      <c r="J15" t="s">
        <v>52</v>
      </c>
      <c r="K15">
        <v>85.101663585951897</v>
      </c>
      <c r="L15" t="s">
        <v>52</v>
      </c>
      <c r="M15">
        <v>50</v>
      </c>
      <c r="N15">
        <v>85.101663585951897</v>
      </c>
      <c r="O15">
        <v>85.101663585951897</v>
      </c>
      <c r="P15">
        <v>45.975634112242901</v>
      </c>
      <c r="Q15">
        <v>85.101663585951897</v>
      </c>
      <c r="R15">
        <v>78.252058947418206</v>
      </c>
      <c r="S15">
        <v>14.8768988999476</v>
      </c>
      <c r="T15" t="s">
        <v>52</v>
      </c>
      <c r="U15">
        <v>85.123101100052395</v>
      </c>
      <c r="V15" t="s">
        <v>52</v>
      </c>
      <c r="W15">
        <v>50</v>
      </c>
      <c r="X15">
        <v>85.123101100052395</v>
      </c>
      <c r="Y15">
        <v>85.123101100052395</v>
      </c>
      <c r="Z15">
        <v>45.9818902093945</v>
      </c>
      <c r="AA15">
        <v>85.123101100052395</v>
      </c>
      <c r="AB15">
        <v>78.282421781315904</v>
      </c>
      <c r="AC15">
        <v>7747.45307850275</v>
      </c>
      <c r="AD15">
        <v>30.198706999999999</v>
      </c>
      <c r="AE15">
        <v>854250</v>
      </c>
      <c r="AF15">
        <v>853949</v>
      </c>
      <c r="AG15" t="s">
        <v>122</v>
      </c>
      <c r="AH15" t="s">
        <v>119</v>
      </c>
      <c r="AI15" t="s">
        <v>47</v>
      </c>
      <c r="AJ15" t="s">
        <v>48</v>
      </c>
      <c r="AK15" t="s">
        <v>49</v>
      </c>
      <c r="AL15" t="s">
        <v>50</v>
      </c>
    </row>
    <row r="16" spans="1:38" ht="16" x14ac:dyDescent="0.2">
      <c r="A16">
        <v>0</v>
      </c>
      <c r="B16">
        <v>2.15</v>
      </c>
      <c r="C16" t="s">
        <v>58</v>
      </c>
      <c r="D16" t="s">
        <v>44</v>
      </c>
      <c r="E16">
        <v>86.367837338262504</v>
      </c>
      <c r="F16">
        <v>1475</v>
      </c>
      <c r="G16">
        <v>86.485070717653201</v>
      </c>
      <c r="H16">
        <v>258</v>
      </c>
      <c r="I16">
        <v>13.6321626617375</v>
      </c>
      <c r="J16">
        <v>75.080174134607802</v>
      </c>
      <c r="K16">
        <v>86.367837338262504</v>
      </c>
      <c r="L16">
        <v>83.895832133267206</v>
      </c>
      <c r="M16">
        <v>59.494777979230498</v>
      </c>
      <c r="N16">
        <v>86.367837338262504</v>
      </c>
      <c r="O16">
        <v>86.367837338262504</v>
      </c>
      <c r="P16">
        <v>62.054927023703698</v>
      </c>
      <c r="Q16">
        <v>86.367837338262504</v>
      </c>
      <c r="R16">
        <v>83.378199942464605</v>
      </c>
      <c r="S16">
        <v>13.514929282346801</v>
      </c>
      <c r="T16">
        <v>75.620805754734306</v>
      </c>
      <c r="U16">
        <v>86.485070717653201</v>
      </c>
      <c r="V16">
        <v>84.105942222570206</v>
      </c>
      <c r="W16">
        <v>59.662513542795203</v>
      </c>
      <c r="X16">
        <v>86.485070717653201</v>
      </c>
      <c r="Y16">
        <v>86.485070717653201</v>
      </c>
      <c r="Z16">
        <v>62.300450078074803</v>
      </c>
      <c r="AA16">
        <v>86.485070717653201</v>
      </c>
      <c r="AB16">
        <v>83.511422136723994</v>
      </c>
      <c r="AC16">
        <v>16892.524823580799</v>
      </c>
      <c r="AD16">
        <v>26.027075</v>
      </c>
      <c r="AE16">
        <v>392225</v>
      </c>
      <c r="AF16">
        <v>191646</v>
      </c>
      <c r="AG16" t="s">
        <v>59</v>
      </c>
      <c r="AH16" t="s">
        <v>119</v>
      </c>
      <c r="AI16" t="s">
        <v>47</v>
      </c>
      <c r="AJ16" t="s">
        <v>48</v>
      </c>
      <c r="AK16" t="s">
        <v>49</v>
      </c>
      <c r="AL16" t="s">
        <v>50</v>
      </c>
    </row>
    <row r="17" spans="1:38" ht="16" x14ac:dyDescent="0.2">
      <c r="A17">
        <v>0</v>
      </c>
      <c r="B17">
        <v>2.16</v>
      </c>
      <c r="C17" t="s">
        <v>58</v>
      </c>
      <c r="D17" t="s">
        <v>44</v>
      </c>
      <c r="E17">
        <v>85.822550831792995</v>
      </c>
      <c r="F17">
        <v>1534</v>
      </c>
      <c r="G17">
        <v>86.537454164484004</v>
      </c>
      <c r="H17">
        <v>257</v>
      </c>
      <c r="I17">
        <v>14.177449168207</v>
      </c>
      <c r="J17">
        <v>71.953984819734302</v>
      </c>
      <c r="K17">
        <v>85.822550831792995</v>
      </c>
      <c r="L17">
        <v>82.950396868544104</v>
      </c>
      <c r="M17">
        <v>59.353515553418902</v>
      </c>
      <c r="N17">
        <v>85.822550831792995</v>
      </c>
      <c r="O17">
        <v>85.822550831792995</v>
      </c>
      <c r="P17">
        <v>61.684222151305903</v>
      </c>
      <c r="Q17">
        <v>85.822550831792995</v>
      </c>
      <c r="R17">
        <v>83.034332148625396</v>
      </c>
      <c r="S17">
        <v>13.462545835516</v>
      </c>
      <c r="T17">
        <v>74.933110367892994</v>
      </c>
      <c r="U17">
        <v>86.537454164484004</v>
      </c>
      <c r="V17">
        <v>84.201380189946903</v>
      </c>
      <c r="W17">
        <v>61.146153846153901</v>
      </c>
      <c r="X17">
        <v>86.537454164484004</v>
      </c>
      <c r="Y17">
        <v>86.537454164484004</v>
      </c>
      <c r="Z17">
        <v>64.036077324050098</v>
      </c>
      <c r="AA17">
        <v>86.537454164484004</v>
      </c>
      <c r="AB17">
        <v>84.019088147243394</v>
      </c>
      <c r="AC17">
        <v>12671.7181772401</v>
      </c>
      <c r="AD17">
        <v>54.492843000000001</v>
      </c>
      <c r="AE17">
        <v>5536517</v>
      </c>
      <c r="AF17">
        <v>4067714</v>
      </c>
      <c r="AG17" t="s">
        <v>60</v>
      </c>
      <c r="AH17" t="s">
        <v>119</v>
      </c>
      <c r="AI17" t="s">
        <v>47</v>
      </c>
      <c r="AJ17" t="s">
        <v>48</v>
      </c>
      <c r="AK17" t="s">
        <v>49</v>
      </c>
      <c r="AL17" t="s">
        <v>50</v>
      </c>
    </row>
    <row r="18" spans="1:38" ht="16" x14ac:dyDescent="0.2">
      <c r="A18">
        <v>0</v>
      </c>
      <c r="B18">
        <v>2.17</v>
      </c>
      <c r="C18" t="s">
        <v>58</v>
      </c>
      <c r="D18" t="s">
        <v>44</v>
      </c>
      <c r="E18">
        <v>73.345656192236603</v>
      </c>
      <c r="F18">
        <v>2884</v>
      </c>
      <c r="G18">
        <v>75.3797799895233</v>
      </c>
      <c r="H18">
        <v>470</v>
      </c>
      <c r="I18">
        <v>26.6543438077634</v>
      </c>
      <c r="J18">
        <v>64.023023561343194</v>
      </c>
      <c r="K18">
        <v>73.345656192236603</v>
      </c>
      <c r="L18">
        <v>85.692153752367105</v>
      </c>
      <c r="M18">
        <v>75.128273396959798</v>
      </c>
      <c r="N18">
        <v>73.345656192236603</v>
      </c>
      <c r="O18">
        <v>73.345656192236603</v>
      </c>
      <c r="P18">
        <v>64.364068446101598</v>
      </c>
      <c r="Q18">
        <v>73.345656192236603</v>
      </c>
      <c r="R18">
        <v>76.923740853988505</v>
      </c>
      <c r="S18">
        <v>24.6202200104767</v>
      </c>
      <c r="T18">
        <v>64.724007395017196</v>
      </c>
      <c r="U18">
        <v>75.3797799895233</v>
      </c>
      <c r="V18">
        <v>85.706960477590897</v>
      </c>
      <c r="W18">
        <v>75.368364030335897</v>
      </c>
      <c r="X18">
        <v>75.3797799895233</v>
      </c>
      <c r="Y18">
        <v>75.3797799895233</v>
      </c>
      <c r="Z18">
        <v>65.782789761112994</v>
      </c>
      <c r="AA18">
        <v>75.3797799895233</v>
      </c>
      <c r="AB18">
        <v>78.512328728767002</v>
      </c>
      <c r="AC18">
        <v>18403.269726961498</v>
      </c>
      <c r="AD18">
        <v>23.847728</v>
      </c>
      <c r="AE18">
        <v>369541</v>
      </c>
      <c r="AF18">
        <v>169026</v>
      </c>
      <c r="AG18" t="s">
        <v>61</v>
      </c>
      <c r="AH18" t="s">
        <v>119</v>
      </c>
      <c r="AI18" t="s">
        <v>47</v>
      </c>
      <c r="AJ18" t="s">
        <v>48</v>
      </c>
      <c r="AK18" t="s">
        <v>49</v>
      </c>
      <c r="AL18" t="s">
        <v>50</v>
      </c>
    </row>
    <row r="19" spans="1:38" ht="16" x14ac:dyDescent="0.2">
      <c r="A19">
        <v>0</v>
      </c>
      <c r="B19">
        <v>2.1800000000000002</v>
      </c>
      <c r="C19" t="s">
        <v>62</v>
      </c>
      <c r="D19" t="s">
        <v>44</v>
      </c>
      <c r="E19">
        <v>84.593345656192199</v>
      </c>
      <c r="F19">
        <v>1667</v>
      </c>
      <c r="G19">
        <v>85.961236249345205</v>
      </c>
      <c r="H19">
        <v>268</v>
      </c>
      <c r="I19">
        <v>15.4066543438078</v>
      </c>
      <c r="J19">
        <v>67.407479609728298</v>
      </c>
      <c r="K19">
        <v>84.593345656192199</v>
      </c>
      <c r="L19">
        <v>81.819473260527602</v>
      </c>
      <c r="M19">
        <v>60.268905235063698</v>
      </c>
      <c r="N19">
        <v>84.593345656192199</v>
      </c>
      <c r="O19">
        <v>84.593345656192199</v>
      </c>
      <c r="P19">
        <v>62.213223505158503</v>
      </c>
      <c r="Q19">
        <v>84.593345656192199</v>
      </c>
      <c r="R19">
        <v>82.628668186226406</v>
      </c>
      <c r="S19">
        <v>14.0387637506548</v>
      </c>
      <c r="T19">
        <v>71.982494036472701</v>
      </c>
      <c r="U19">
        <v>85.961236249345205</v>
      </c>
      <c r="V19">
        <v>83.575254276090504</v>
      </c>
      <c r="W19">
        <v>62.260563380281702</v>
      </c>
      <c r="X19">
        <v>85.961236249345205</v>
      </c>
      <c r="Y19">
        <v>85.961236249345205</v>
      </c>
      <c r="Z19">
        <v>64.882073529007997</v>
      </c>
      <c r="AA19">
        <v>85.961236249345205</v>
      </c>
      <c r="AB19">
        <v>83.9944178210784</v>
      </c>
      <c r="AC19">
        <v>67885.510647108298</v>
      </c>
      <c r="AD19">
        <v>46.935439000000002</v>
      </c>
      <c r="AE19">
        <v>12295</v>
      </c>
      <c r="AF19">
        <v>11529</v>
      </c>
      <c r="AG19" t="s">
        <v>63</v>
      </c>
      <c r="AH19" t="s">
        <v>119</v>
      </c>
      <c r="AI19" t="s">
        <v>47</v>
      </c>
      <c r="AJ19" t="s">
        <v>48</v>
      </c>
      <c r="AK19" t="s">
        <v>49</v>
      </c>
      <c r="AL19" t="s">
        <v>50</v>
      </c>
    </row>
    <row r="20" spans="1:38" ht="16" x14ac:dyDescent="0.2">
      <c r="A20">
        <v>0</v>
      </c>
      <c r="B20">
        <v>2.19</v>
      </c>
      <c r="C20" t="s">
        <v>62</v>
      </c>
      <c r="D20" t="s">
        <v>44</v>
      </c>
      <c r="E20">
        <v>82.707948243992604</v>
      </c>
      <c r="F20">
        <v>1871</v>
      </c>
      <c r="G20">
        <v>83.184913567312705</v>
      </c>
      <c r="H20">
        <v>321</v>
      </c>
      <c r="I20">
        <v>17.2920517560074</v>
      </c>
      <c r="J20">
        <v>63.6387328153019</v>
      </c>
      <c r="K20">
        <v>82.707948243992604</v>
      </c>
      <c r="L20">
        <v>80.821385294107898</v>
      </c>
      <c r="M20">
        <v>60.568474818530902</v>
      </c>
      <c r="N20">
        <v>82.707948243992604</v>
      </c>
      <c r="O20">
        <v>82.707948243992604</v>
      </c>
      <c r="P20">
        <v>61.705259649005399</v>
      </c>
      <c r="Q20">
        <v>82.707948243992604</v>
      </c>
      <c r="R20">
        <v>81.614959208162105</v>
      </c>
      <c r="S20">
        <v>16.815086432687298</v>
      </c>
      <c r="T20">
        <v>64.416086279349997</v>
      </c>
      <c r="U20">
        <v>83.184913567312705</v>
      </c>
      <c r="V20">
        <v>81.073265229156803</v>
      </c>
      <c r="W20">
        <v>60.629794149512499</v>
      </c>
      <c r="X20">
        <v>83.184913567312705</v>
      </c>
      <c r="Y20">
        <v>83.184913567312705</v>
      </c>
      <c r="Z20">
        <v>61.957592632255299</v>
      </c>
      <c r="AA20">
        <v>83.184913567312705</v>
      </c>
      <c r="AB20">
        <v>81.919610426022501</v>
      </c>
      <c r="AC20">
        <v>124994.22392680599</v>
      </c>
      <c r="AD20">
        <v>70.143151000000003</v>
      </c>
      <c r="AE20">
        <v>16135</v>
      </c>
      <c r="AF20">
        <v>15369</v>
      </c>
      <c r="AG20" t="s">
        <v>64</v>
      </c>
      <c r="AH20" t="s">
        <v>119</v>
      </c>
      <c r="AI20" t="s">
        <v>47</v>
      </c>
      <c r="AJ20" t="s">
        <v>48</v>
      </c>
      <c r="AK20" t="s">
        <v>49</v>
      </c>
      <c r="AL20" t="s">
        <v>50</v>
      </c>
    </row>
    <row r="21" spans="1:38" ht="16" x14ac:dyDescent="0.2">
      <c r="A21">
        <v>0</v>
      </c>
      <c r="B21">
        <v>2.2000000000000002</v>
      </c>
      <c r="C21" t="s">
        <v>45</v>
      </c>
      <c r="D21" t="s">
        <v>44</v>
      </c>
      <c r="E21">
        <v>85.499075785582306</v>
      </c>
      <c r="F21">
        <v>1569</v>
      </c>
      <c r="G21">
        <v>85.8564693556836</v>
      </c>
      <c r="H21">
        <v>270</v>
      </c>
      <c r="I21">
        <v>14.500924214417701</v>
      </c>
      <c r="J21">
        <v>70.643012435029206</v>
      </c>
      <c r="K21">
        <v>85.499075785582306</v>
      </c>
      <c r="L21">
        <v>82.146239469769398</v>
      </c>
      <c r="M21">
        <v>57.244415256557602</v>
      </c>
      <c r="N21">
        <v>85.499075785582306</v>
      </c>
      <c r="O21">
        <v>85.499075785582207</v>
      </c>
      <c r="P21">
        <v>58.924506300974997</v>
      </c>
      <c r="Q21">
        <v>85.499075785582306</v>
      </c>
      <c r="R21">
        <v>82.118856502638394</v>
      </c>
      <c r="S21">
        <v>14.1435306443164</v>
      </c>
      <c r="T21">
        <v>72.896049753963894</v>
      </c>
      <c r="U21">
        <v>85.8564693556836</v>
      </c>
      <c r="V21">
        <v>82.833112467460793</v>
      </c>
      <c r="W21">
        <v>57.259263271939297</v>
      </c>
      <c r="X21">
        <v>85.8564693556836</v>
      </c>
      <c r="Y21">
        <v>85.8564693556836</v>
      </c>
      <c r="Z21">
        <v>59.003576041792599</v>
      </c>
      <c r="AA21">
        <v>85.8564693556836</v>
      </c>
      <c r="AB21">
        <v>82.310844607441695</v>
      </c>
      <c r="AC21">
        <v>433771.64849262399</v>
      </c>
      <c r="AD21">
        <v>0.78720800000000002</v>
      </c>
      <c r="AE21">
        <v>12098</v>
      </c>
      <c r="AF21">
        <v>9241</v>
      </c>
      <c r="AG21" t="s">
        <v>65</v>
      </c>
      <c r="AH21" t="s">
        <v>119</v>
      </c>
      <c r="AI21" t="s">
        <v>47</v>
      </c>
      <c r="AJ21" t="s">
        <v>48</v>
      </c>
      <c r="AK21" t="s">
        <v>49</v>
      </c>
      <c r="AL21" t="s">
        <v>50</v>
      </c>
    </row>
    <row r="22" spans="1:38" ht="16" x14ac:dyDescent="0.2">
      <c r="A22">
        <v>0</v>
      </c>
      <c r="B22">
        <v>2.2000000000000002</v>
      </c>
      <c r="C22" t="s">
        <v>62</v>
      </c>
      <c r="D22" t="s">
        <v>44</v>
      </c>
      <c r="E22">
        <v>79.916820702403001</v>
      </c>
      <c r="F22">
        <v>2173</v>
      </c>
      <c r="G22">
        <v>79.151388161341004</v>
      </c>
      <c r="H22">
        <v>398</v>
      </c>
      <c r="I22">
        <v>20.083179297596999</v>
      </c>
      <c r="J22">
        <v>60.377423864068298</v>
      </c>
      <c r="K22">
        <v>79.916820702403001</v>
      </c>
      <c r="L22">
        <v>79.901398921157195</v>
      </c>
      <c r="M22">
        <v>60.361485750873697</v>
      </c>
      <c r="N22">
        <v>79.916820702403001</v>
      </c>
      <c r="O22">
        <v>79.916820702403001</v>
      </c>
      <c r="P22">
        <v>60.369439525102003</v>
      </c>
      <c r="Q22">
        <v>79.916820702403001</v>
      </c>
      <c r="R22">
        <v>79.909103615479395</v>
      </c>
      <c r="S22">
        <v>20.848611838659</v>
      </c>
      <c r="T22">
        <v>60.073274408747203</v>
      </c>
      <c r="U22">
        <v>79.151388161341004</v>
      </c>
      <c r="V22">
        <v>79.982807904644702</v>
      </c>
      <c r="W22">
        <v>60.875731310942598</v>
      </c>
      <c r="X22">
        <v>79.151388161341004</v>
      </c>
      <c r="Y22">
        <v>79.151388161341004</v>
      </c>
      <c r="Z22">
        <v>60.434450235170097</v>
      </c>
      <c r="AA22">
        <v>79.151388161341004</v>
      </c>
      <c r="AB22">
        <v>79.550530782767396</v>
      </c>
      <c r="AC22">
        <v>267722.38030434202</v>
      </c>
      <c r="AD22">
        <v>82.683328000000003</v>
      </c>
      <c r="AE22">
        <v>35335</v>
      </c>
      <c r="AF22">
        <v>34569</v>
      </c>
      <c r="AG22" t="s">
        <v>66</v>
      </c>
      <c r="AH22" t="s">
        <v>119</v>
      </c>
      <c r="AI22" t="s">
        <v>47</v>
      </c>
      <c r="AJ22" t="s">
        <v>48</v>
      </c>
      <c r="AK22" t="s">
        <v>49</v>
      </c>
      <c r="AL22" t="s">
        <v>50</v>
      </c>
    </row>
    <row r="23" spans="1:38" ht="16" x14ac:dyDescent="0.2">
      <c r="A23">
        <v>0</v>
      </c>
      <c r="B23">
        <v>2.21</v>
      </c>
      <c r="C23" t="s">
        <v>62</v>
      </c>
      <c r="D23" t="s">
        <v>44</v>
      </c>
      <c r="E23">
        <v>84.186691312384497</v>
      </c>
      <c r="F23">
        <v>1711</v>
      </c>
      <c r="G23">
        <v>85.804085908852798</v>
      </c>
      <c r="H23">
        <v>271</v>
      </c>
      <c r="I23">
        <v>15.8133086876155</v>
      </c>
      <c r="J23">
        <v>66.6154651947503</v>
      </c>
      <c r="K23">
        <v>84.186691312384497</v>
      </c>
      <c r="L23">
        <v>81.751667688461893</v>
      </c>
      <c r="M23">
        <v>61.0023002977236</v>
      </c>
      <c r="N23">
        <v>84.186691312384497</v>
      </c>
      <c r="O23">
        <v>84.186691312384497</v>
      </c>
      <c r="P23">
        <v>62.7636123911252</v>
      </c>
      <c r="Q23">
        <v>84.186691312384497</v>
      </c>
      <c r="R23">
        <v>82.591772192012897</v>
      </c>
      <c r="S23">
        <v>14.1959140911472</v>
      </c>
      <c r="T23">
        <v>71.414162599145797</v>
      </c>
      <c r="U23">
        <v>85.804085908852798</v>
      </c>
      <c r="V23">
        <v>83.392366918399105</v>
      </c>
      <c r="W23">
        <v>62.168255687974003</v>
      </c>
      <c r="X23">
        <v>85.804085908852798</v>
      </c>
      <c r="Y23">
        <v>85.804085908852798</v>
      </c>
      <c r="Z23">
        <v>64.703743249835398</v>
      </c>
      <c r="AA23">
        <v>85.804085908852798</v>
      </c>
      <c r="AB23">
        <v>83.874176519308506</v>
      </c>
      <c r="AC23">
        <v>120699.656418723</v>
      </c>
      <c r="AD23">
        <v>60.709896999999998</v>
      </c>
      <c r="AE23">
        <v>14067</v>
      </c>
      <c r="AF23">
        <v>12777</v>
      </c>
      <c r="AG23" t="s">
        <v>67</v>
      </c>
      <c r="AH23" t="s">
        <v>119</v>
      </c>
      <c r="AI23" t="s">
        <v>47</v>
      </c>
      <c r="AJ23" t="s">
        <v>48</v>
      </c>
      <c r="AK23" t="s">
        <v>49</v>
      </c>
      <c r="AL23" t="s">
        <v>50</v>
      </c>
    </row>
    <row r="24" spans="1:38" ht="16" x14ac:dyDescent="0.2">
      <c r="A24">
        <v>0</v>
      </c>
      <c r="B24">
        <v>2.2200000000000002</v>
      </c>
      <c r="C24" t="s">
        <v>62</v>
      </c>
      <c r="D24" t="s">
        <v>44</v>
      </c>
      <c r="E24">
        <v>83.447319778188501</v>
      </c>
      <c r="F24">
        <v>1791</v>
      </c>
      <c r="G24">
        <v>83.918281822943996</v>
      </c>
      <c r="H24">
        <v>307</v>
      </c>
      <c r="I24">
        <v>16.552680221811499</v>
      </c>
      <c r="J24">
        <v>64.911299209846902</v>
      </c>
      <c r="K24">
        <v>83.447319778188501</v>
      </c>
      <c r="L24">
        <v>81.181187381458102</v>
      </c>
      <c r="M24">
        <v>60.593482741299503</v>
      </c>
      <c r="N24">
        <v>83.447319778188501</v>
      </c>
      <c r="O24">
        <v>83.447319778188501</v>
      </c>
      <c r="P24">
        <v>62.044958773835603</v>
      </c>
      <c r="Q24">
        <v>83.447319778188501</v>
      </c>
      <c r="R24">
        <v>82.053861443258995</v>
      </c>
      <c r="S24">
        <v>16.081718177056</v>
      </c>
      <c r="T24">
        <v>66.275319390838604</v>
      </c>
      <c r="U24">
        <v>83.918281822943996</v>
      </c>
      <c r="V24">
        <v>81.850837903974394</v>
      </c>
      <c r="W24">
        <v>61.786998916576401</v>
      </c>
      <c r="X24">
        <v>83.918281822943996</v>
      </c>
      <c r="Y24">
        <v>83.918281822943996</v>
      </c>
      <c r="Z24">
        <v>63.356886195346803</v>
      </c>
      <c r="AA24">
        <v>83.918281822943996</v>
      </c>
      <c r="AB24">
        <v>82.638586570596999</v>
      </c>
      <c r="AC24">
        <v>135492.19229372501</v>
      </c>
      <c r="AD24">
        <v>63.526775000000001</v>
      </c>
      <c r="AE24">
        <v>15839</v>
      </c>
      <c r="AF24">
        <v>14025</v>
      </c>
      <c r="AG24" t="s">
        <v>68</v>
      </c>
      <c r="AH24" t="s">
        <v>119</v>
      </c>
      <c r="AI24" t="s">
        <v>47</v>
      </c>
      <c r="AJ24" t="s">
        <v>48</v>
      </c>
      <c r="AK24" t="s">
        <v>49</v>
      </c>
      <c r="AL24" t="s">
        <v>50</v>
      </c>
    </row>
    <row r="25" spans="1:38" ht="16" x14ac:dyDescent="0.2">
      <c r="A25">
        <v>0</v>
      </c>
      <c r="B25">
        <v>2.23</v>
      </c>
      <c r="C25" t="s">
        <v>69</v>
      </c>
      <c r="D25" t="s">
        <v>44</v>
      </c>
      <c r="E25">
        <v>85.231053604436198</v>
      </c>
      <c r="F25">
        <v>1598</v>
      </c>
      <c r="G25">
        <v>85.437401781037195</v>
      </c>
      <c r="H25">
        <v>278</v>
      </c>
      <c r="I25">
        <v>14.7689463955638</v>
      </c>
      <c r="J25">
        <v>72.312820864521697</v>
      </c>
      <c r="K25">
        <v>85.231053604436198</v>
      </c>
      <c r="L25">
        <v>81.511067573594701</v>
      </c>
      <c r="M25">
        <v>51.227449752399998</v>
      </c>
      <c r="N25">
        <v>85.231053604436198</v>
      </c>
      <c r="O25">
        <v>85.231053604436198</v>
      </c>
      <c r="P25">
        <v>48.661265710691403</v>
      </c>
      <c r="Q25">
        <v>85.231053604436198</v>
      </c>
      <c r="R25">
        <v>79.080024891690698</v>
      </c>
      <c r="S25">
        <v>14.562598218962799</v>
      </c>
      <c r="T25">
        <v>76.141371408425897</v>
      </c>
      <c r="U25">
        <v>85.437401781037195</v>
      </c>
      <c r="V25">
        <v>82.796991659184997</v>
      </c>
      <c r="W25">
        <v>51.928060671722598</v>
      </c>
      <c r="X25">
        <v>85.437401781037195</v>
      </c>
      <c r="Y25">
        <v>85.437401781037195</v>
      </c>
      <c r="Z25">
        <v>50.020153847312898</v>
      </c>
      <c r="AA25">
        <v>85.437401781037195</v>
      </c>
      <c r="AB25">
        <v>79.574932614658394</v>
      </c>
      <c r="AC25">
        <v>39252.533094383798</v>
      </c>
      <c r="AD25">
        <v>64.835871999999995</v>
      </c>
      <c r="AE25">
        <v>20465</v>
      </c>
      <c r="AF25">
        <v>29235</v>
      </c>
      <c r="AG25" t="s">
        <v>70</v>
      </c>
      <c r="AH25" t="s">
        <v>119</v>
      </c>
      <c r="AI25" t="s">
        <v>47</v>
      </c>
      <c r="AJ25" t="s">
        <v>48</v>
      </c>
      <c r="AK25" t="s">
        <v>49</v>
      </c>
      <c r="AL25" t="s">
        <v>50</v>
      </c>
    </row>
    <row r="26" spans="1:38" ht="16" x14ac:dyDescent="0.2">
      <c r="A26">
        <v>0</v>
      </c>
      <c r="B26">
        <v>2.2400000000000002</v>
      </c>
      <c r="C26" t="s">
        <v>69</v>
      </c>
      <c r="D26" t="s">
        <v>44</v>
      </c>
      <c r="E26">
        <v>85.471349353049902</v>
      </c>
      <c r="F26">
        <v>1572</v>
      </c>
      <c r="G26">
        <v>85.280251440544802</v>
      </c>
      <c r="H26">
        <v>281</v>
      </c>
      <c r="I26">
        <v>14.5286506469501</v>
      </c>
      <c r="J26">
        <v>70.948734566668804</v>
      </c>
      <c r="K26">
        <v>85.471349353049902</v>
      </c>
      <c r="L26">
        <v>81.901254614062694</v>
      </c>
      <c r="M26">
        <v>55.513775377112999</v>
      </c>
      <c r="N26">
        <v>85.471349353049902</v>
      </c>
      <c r="O26">
        <v>85.471349353049902</v>
      </c>
      <c r="P26">
        <v>56.423774808722598</v>
      </c>
      <c r="Q26">
        <v>85.471349353049902</v>
      </c>
      <c r="R26">
        <v>81.400611602780799</v>
      </c>
      <c r="S26">
        <v>14.7197485594552</v>
      </c>
      <c r="T26">
        <v>69.310022826312505</v>
      </c>
      <c r="U26">
        <v>85.280251440544802</v>
      </c>
      <c r="V26">
        <v>81.540791856401299</v>
      </c>
      <c r="W26">
        <v>56.049079089924199</v>
      </c>
      <c r="X26">
        <v>85.280251440544802</v>
      </c>
      <c r="Y26">
        <v>85.280251440544802</v>
      </c>
      <c r="Z26">
        <v>57.228195652087201</v>
      </c>
      <c r="AA26">
        <v>85.280251440544802</v>
      </c>
      <c r="AB26">
        <v>81.560541585024893</v>
      </c>
      <c r="AC26">
        <v>24096.814855396799</v>
      </c>
      <c r="AD26">
        <v>39.558266000000003</v>
      </c>
      <c r="AE26">
        <v>20507</v>
      </c>
      <c r="AF26">
        <v>29235</v>
      </c>
      <c r="AG26" t="s">
        <v>71</v>
      </c>
      <c r="AH26" t="s">
        <v>119</v>
      </c>
      <c r="AI26" t="s">
        <v>47</v>
      </c>
      <c r="AJ26" t="s">
        <v>48</v>
      </c>
      <c r="AK26" t="s">
        <v>49</v>
      </c>
      <c r="AL26" t="s">
        <v>50</v>
      </c>
    </row>
    <row r="27" spans="1:38" ht="16" x14ac:dyDescent="0.2">
      <c r="A27">
        <v>0</v>
      </c>
      <c r="B27">
        <v>2.2999999999999998</v>
      </c>
      <c r="C27" t="s">
        <v>45</v>
      </c>
      <c r="D27" t="s">
        <v>44</v>
      </c>
      <c r="E27">
        <v>85.009242144177406</v>
      </c>
      <c r="F27">
        <v>1622</v>
      </c>
      <c r="G27">
        <v>85.123101100052395</v>
      </c>
      <c r="H27">
        <v>284</v>
      </c>
      <c r="I27">
        <v>14.990757855822601</v>
      </c>
      <c r="J27">
        <v>61.0105536517978</v>
      </c>
      <c r="K27">
        <v>85.009242144177406</v>
      </c>
      <c r="L27">
        <v>77.977608546447499</v>
      </c>
      <c r="M27">
        <v>50.303921716578301</v>
      </c>
      <c r="N27">
        <v>85.009242144177406</v>
      </c>
      <c r="O27">
        <v>85.009242144177406</v>
      </c>
      <c r="P27">
        <v>46.791456334227703</v>
      </c>
      <c r="Q27">
        <v>85.009242144177406</v>
      </c>
      <c r="R27">
        <v>78.449286324672499</v>
      </c>
      <c r="S27">
        <v>14.8768988999476</v>
      </c>
      <c r="T27" t="s">
        <v>52</v>
      </c>
      <c r="U27">
        <v>85.123101100052395</v>
      </c>
      <c r="V27" t="s">
        <v>52</v>
      </c>
      <c r="W27">
        <v>50</v>
      </c>
      <c r="X27">
        <v>85.123101100052395</v>
      </c>
      <c r="Y27">
        <v>85.123101100052395</v>
      </c>
      <c r="Z27">
        <v>45.9818902093945</v>
      </c>
      <c r="AA27">
        <v>85.123101100052395</v>
      </c>
      <c r="AB27">
        <v>78.282421781315904</v>
      </c>
      <c r="AC27">
        <v>430835.39061877801</v>
      </c>
      <c r="AD27">
        <v>2.486659</v>
      </c>
      <c r="AE27">
        <v>7738</v>
      </c>
      <c r="AF27">
        <v>7617</v>
      </c>
      <c r="AG27" t="s">
        <v>72</v>
      </c>
      <c r="AH27" t="s">
        <v>119</v>
      </c>
      <c r="AI27" t="s">
        <v>47</v>
      </c>
      <c r="AJ27" t="s">
        <v>48</v>
      </c>
      <c r="AK27" t="s">
        <v>49</v>
      </c>
      <c r="AL27" t="s">
        <v>50</v>
      </c>
    </row>
    <row r="28" spans="1:38" ht="16" x14ac:dyDescent="0.2">
      <c r="A28">
        <v>0</v>
      </c>
      <c r="B28">
        <v>2.4</v>
      </c>
      <c r="C28" t="s">
        <v>73</v>
      </c>
      <c r="D28" t="s">
        <v>44</v>
      </c>
      <c r="E28">
        <v>86.349353049907606</v>
      </c>
      <c r="F28">
        <v>1477</v>
      </c>
      <c r="G28">
        <v>87.218438973284407</v>
      </c>
      <c r="H28">
        <v>244</v>
      </c>
      <c r="I28">
        <v>13.650646950092399</v>
      </c>
      <c r="J28">
        <v>74.142653804849701</v>
      </c>
      <c r="K28">
        <v>86.349353049907606</v>
      </c>
      <c r="L28">
        <v>83.900819187449102</v>
      </c>
      <c r="M28">
        <v>60.891219847667301</v>
      </c>
      <c r="N28">
        <v>86.349353049907606</v>
      </c>
      <c r="O28">
        <v>86.349353049907606</v>
      </c>
      <c r="P28">
        <v>63.668492137870103</v>
      </c>
      <c r="Q28">
        <v>86.349353049907606</v>
      </c>
      <c r="R28">
        <v>83.821003482803604</v>
      </c>
      <c r="S28">
        <v>12.7815610267156</v>
      </c>
      <c r="T28">
        <v>78.141147944987694</v>
      </c>
      <c r="U28">
        <v>87.218438973284407</v>
      </c>
      <c r="V28">
        <v>85.365270953264201</v>
      </c>
      <c r="W28">
        <v>62.272589382448501</v>
      </c>
      <c r="X28">
        <v>87.218438973284407</v>
      </c>
      <c r="Y28">
        <v>87.218438973284407</v>
      </c>
      <c r="Z28">
        <v>65.6267526226614</v>
      </c>
      <c r="AA28">
        <v>87.218438973284407</v>
      </c>
      <c r="AB28">
        <v>84.763865244066196</v>
      </c>
      <c r="AC28">
        <v>165024.55540981601</v>
      </c>
      <c r="AD28">
        <v>2.8200810000000001</v>
      </c>
      <c r="AE28">
        <v>5033052</v>
      </c>
      <c r="AF28">
        <v>19956</v>
      </c>
      <c r="AG28" t="s">
        <v>47</v>
      </c>
      <c r="AH28" t="s">
        <v>119</v>
      </c>
      <c r="AI28" t="s">
        <v>47</v>
      </c>
      <c r="AJ28" t="s">
        <v>48</v>
      </c>
      <c r="AK28" t="s">
        <v>49</v>
      </c>
      <c r="AL28" t="s">
        <v>50</v>
      </c>
    </row>
    <row r="29" spans="1:38" ht="16" x14ac:dyDescent="0.2">
      <c r="A29">
        <v>0</v>
      </c>
      <c r="B29">
        <v>2.5</v>
      </c>
      <c r="C29" t="s">
        <v>74</v>
      </c>
      <c r="D29" t="s">
        <v>44</v>
      </c>
      <c r="E29">
        <v>85.101663585951897</v>
      </c>
      <c r="F29">
        <v>1612</v>
      </c>
      <c r="G29">
        <v>85.123101100052395</v>
      </c>
      <c r="H29">
        <v>284</v>
      </c>
      <c r="I29">
        <v>14.898336414048099</v>
      </c>
      <c r="J29" t="s">
        <v>52</v>
      </c>
      <c r="K29">
        <v>85.101663585951897</v>
      </c>
      <c r="L29" t="s">
        <v>52</v>
      </c>
      <c r="M29">
        <v>50</v>
      </c>
      <c r="N29">
        <v>85.101663585951897</v>
      </c>
      <c r="O29">
        <v>85.101663585951897</v>
      </c>
      <c r="P29">
        <v>45.975634112242901</v>
      </c>
      <c r="Q29">
        <v>85.101663585951897</v>
      </c>
      <c r="R29">
        <v>78.252058947418206</v>
      </c>
      <c r="S29">
        <v>14.8768988999476</v>
      </c>
      <c r="T29" t="s">
        <v>52</v>
      </c>
      <c r="U29">
        <v>85.123101100052395</v>
      </c>
      <c r="V29" t="s">
        <v>52</v>
      </c>
      <c r="W29">
        <v>50</v>
      </c>
      <c r="X29">
        <v>85.123101100052395</v>
      </c>
      <c r="Y29">
        <v>85.123101100052395</v>
      </c>
      <c r="Z29">
        <v>45.9818902093945</v>
      </c>
      <c r="AA29">
        <v>85.123101100052395</v>
      </c>
      <c r="AB29">
        <v>78.282421781315904</v>
      </c>
      <c r="AC29">
        <v>297678.00154066202</v>
      </c>
      <c r="AD29">
        <v>2.113883</v>
      </c>
      <c r="AE29">
        <v>14563</v>
      </c>
      <c r="AF29">
        <v>7987</v>
      </c>
      <c r="AG29" t="s">
        <v>75</v>
      </c>
      <c r="AH29" t="s">
        <v>119</v>
      </c>
      <c r="AI29" t="s">
        <v>47</v>
      </c>
      <c r="AJ29" t="s">
        <v>48</v>
      </c>
      <c r="AK29" t="s">
        <v>49</v>
      </c>
      <c r="AL29" t="s">
        <v>50</v>
      </c>
    </row>
    <row r="30" spans="1:38" ht="16" x14ac:dyDescent="0.2">
      <c r="A30">
        <v>0</v>
      </c>
      <c r="B30">
        <v>2.6</v>
      </c>
      <c r="C30" t="s">
        <v>76</v>
      </c>
      <c r="D30" t="s">
        <v>44</v>
      </c>
      <c r="E30">
        <v>85.101663585951897</v>
      </c>
      <c r="F30">
        <v>1612</v>
      </c>
      <c r="G30">
        <v>85.123101100052395</v>
      </c>
      <c r="H30">
        <v>284</v>
      </c>
      <c r="I30">
        <v>14.898336414048099</v>
      </c>
      <c r="J30" t="s">
        <v>52</v>
      </c>
      <c r="K30">
        <v>85.101663585951897</v>
      </c>
      <c r="L30" t="s">
        <v>52</v>
      </c>
      <c r="M30">
        <v>50</v>
      </c>
      <c r="N30">
        <v>85.101663585951897</v>
      </c>
      <c r="O30">
        <v>85.101663585951897</v>
      </c>
      <c r="P30">
        <v>45.975634112242901</v>
      </c>
      <c r="Q30">
        <v>85.101663585951897</v>
      </c>
      <c r="R30">
        <v>78.252058947418206</v>
      </c>
      <c r="S30">
        <v>14.8768988999476</v>
      </c>
      <c r="T30" t="s">
        <v>52</v>
      </c>
      <c r="U30">
        <v>85.123101100052395</v>
      </c>
      <c r="V30" t="s">
        <v>52</v>
      </c>
      <c r="W30">
        <v>50</v>
      </c>
      <c r="X30">
        <v>85.123101100052395</v>
      </c>
      <c r="Y30">
        <v>85.123101100052395</v>
      </c>
      <c r="Z30">
        <v>45.9818902093945</v>
      </c>
      <c r="AA30">
        <v>85.123101100052395</v>
      </c>
      <c r="AB30">
        <v>78.282421781315904</v>
      </c>
      <c r="AC30">
        <v>275465.26133557397</v>
      </c>
      <c r="AD30">
        <v>6.3610059999999997</v>
      </c>
      <c r="AE30">
        <v>14521</v>
      </c>
      <c r="AF30">
        <v>7987</v>
      </c>
      <c r="AG30" t="s">
        <v>77</v>
      </c>
      <c r="AH30" t="s">
        <v>119</v>
      </c>
      <c r="AI30" t="s">
        <v>47</v>
      </c>
      <c r="AJ30" t="s">
        <v>48</v>
      </c>
      <c r="AK30" t="s">
        <v>49</v>
      </c>
      <c r="AL30" t="s">
        <v>50</v>
      </c>
    </row>
    <row r="31" spans="1:38" ht="16" x14ac:dyDescent="0.2">
      <c r="A31">
        <v>0</v>
      </c>
      <c r="B31">
        <v>2.7</v>
      </c>
      <c r="C31" t="s">
        <v>78</v>
      </c>
      <c r="D31" t="s">
        <v>44</v>
      </c>
      <c r="E31">
        <v>83.918669131238403</v>
      </c>
      <c r="F31">
        <v>1740</v>
      </c>
      <c r="G31">
        <v>83.342063907805098</v>
      </c>
      <c r="H31">
        <v>318</v>
      </c>
      <c r="I31">
        <v>16.081330868761601</v>
      </c>
      <c r="J31">
        <v>65.6446817863051</v>
      </c>
      <c r="K31">
        <v>83.918669131238403</v>
      </c>
      <c r="L31">
        <v>81.2693112181054</v>
      </c>
      <c r="M31">
        <v>60.051621957818497</v>
      </c>
      <c r="N31">
        <v>83.918669131238403</v>
      </c>
      <c r="O31">
        <v>83.918669131238502</v>
      </c>
      <c r="P31">
        <v>61.714536713926599</v>
      </c>
      <c r="Q31">
        <v>83.918669131238403</v>
      </c>
      <c r="R31">
        <v>82.183297617069897</v>
      </c>
      <c r="S31">
        <v>16.657936092194898</v>
      </c>
      <c r="T31">
        <v>63.789534215066098</v>
      </c>
      <c r="U31">
        <v>83.342063907805098</v>
      </c>
      <c r="V31">
        <v>80.500778522244602</v>
      </c>
      <c r="W31">
        <v>58.833369447453997</v>
      </c>
      <c r="X31">
        <v>83.342063907805098</v>
      </c>
      <c r="Y31">
        <v>83.342063907805098</v>
      </c>
      <c r="Z31">
        <v>60.251457515963303</v>
      </c>
      <c r="AA31">
        <v>83.342063907805098</v>
      </c>
      <c r="AB31">
        <v>81.532902994629893</v>
      </c>
      <c r="AC31">
        <v>161690.42708987099</v>
      </c>
      <c r="AD31">
        <v>1.786367</v>
      </c>
      <c r="AE31">
        <v>17955</v>
      </c>
      <c r="AF31">
        <v>17513</v>
      </c>
      <c r="AG31" t="s">
        <v>79</v>
      </c>
      <c r="AH31" t="s">
        <v>119</v>
      </c>
      <c r="AI31" t="s">
        <v>47</v>
      </c>
      <c r="AJ31" t="s">
        <v>48</v>
      </c>
      <c r="AK31" t="s">
        <v>49</v>
      </c>
      <c r="AL31" t="s">
        <v>50</v>
      </c>
    </row>
    <row r="32" spans="1:38" ht="16" x14ac:dyDescent="0.2">
      <c r="A32">
        <v>0</v>
      </c>
      <c r="B32">
        <v>2.8</v>
      </c>
      <c r="C32" t="s">
        <v>78</v>
      </c>
      <c r="D32" t="s">
        <v>44</v>
      </c>
      <c r="E32">
        <v>84.824399260628496</v>
      </c>
      <c r="F32">
        <v>1642</v>
      </c>
      <c r="G32">
        <v>84.808800419067595</v>
      </c>
      <c r="H32">
        <v>290</v>
      </c>
      <c r="I32">
        <v>15.1756007393715</v>
      </c>
      <c r="J32">
        <v>67.096386800334201</v>
      </c>
      <c r="K32">
        <v>84.824399260628496</v>
      </c>
      <c r="L32">
        <v>80.979065423880101</v>
      </c>
      <c r="M32">
        <v>56.617735036746602</v>
      </c>
      <c r="N32">
        <v>84.824399260628496</v>
      </c>
      <c r="O32">
        <v>84.824399260628496</v>
      </c>
      <c r="P32">
        <v>57.983559742559102</v>
      </c>
      <c r="Q32">
        <v>84.824399260628496</v>
      </c>
      <c r="R32">
        <v>81.559301761436899</v>
      </c>
      <c r="S32">
        <v>15.1911995809324</v>
      </c>
      <c r="T32">
        <v>66.999251277710897</v>
      </c>
      <c r="U32">
        <v>84.808800419067595</v>
      </c>
      <c r="V32">
        <v>81.006644473346796</v>
      </c>
      <c r="W32">
        <v>56.789165763813699</v>
      </c>
      <c r="X32">
        <v>84.808800419067595</v>
      </c>
      <c r="Y32">
        <v>84.808800419067595</v>
      </c>
      <c r="Z32">
        <v>58.210291435679999</v>
      </c>
      <c r="AA32">
        <v>84.808800419067595</v>
      </c>
      <c r="AB32">
        <v>81.630252398728402</v>
      </c>
      <c r="AC32">
        <v>520.42602401395698</v>
      </c>
      <c r="AD32">
        <v>102.08381900000001</v>
      </c>
      <c r="AE32">
        <v>8060259</v>
      </c>
      <c r="AF32">
        <v>3999995</v>
      </c>
      <c r="AG32" t="s">
        <v>80</v>
      </c>
      <c r="AH32" t="s">
        <v>119</v>
      </c>
      <c r="AI32" t="s">
        <v>47</v>
      </c>
      <c r="AJ32" t="s">
        <v>48</v>
      </c>
      <c r="AK32" t="s">
        <v>49</v>
      </c>
      <c r="AL32" t="s">
        <v>50</v>
      </c>
    </row>
    <row r="33" spans="1:38" ht="16" x14ac:dyDescent="0.2">
      <c r="A33">
        <v>0</v>
      </c>
      <c r="B33">
        <v>2.9</v>
      </c>
      <c r="C33" t="s">
        <v>51</v>
      </c>
      <c r="D33" t="s">
        <v>44</v>
      </c>
      <c r="E33">
        <v>85.101663585951897</v>
      </c>
      <c r="F33">
        <v>1612</v>
      </c>
      <c r="G33">
        <v>85.123101100052395</v>
      </c>
      <c r="H33">
        <v>284</v>
      </c>
      <c r="I33">
        <v>14.898336414048099</v>
      </c>
      <c r="J33" t="s">
        <v>52</v>
      </c>
      <c r="K33">
        <v>85.101663585951897</v>
      </c>
      <c r="L33" t="s">
        <v>52</v>
      </c>
      <c r="M33">
        <v>50</v>
      </c>
      <c r="N33">
        <v>85.101663585951897</v>
      </c>
      <c r="O33">
        <v>85.101663585951897</v>
      </c>
      <c r="P33">
        <v>45.975634112242901</v>
      </c>
      <c r="Q33">
        <v>85.101663585951897</v>
      </c>
      <c r="R33">
        <v>78.252058947418206</v>
      </c>
      <c r="S33">
        <v>14.8768988999476</v>
      </c>
      <c r="T33" t="s">
        <v>52</v>
      </c>
      <c r="U33">
        <v>85.123101100052395</v>
      </c>
      <c r="V33" t="s">
        <v>52</v>
      </c>
      <c r="W33">
        <v>50</v>
      </c>
      <c r="X33">
        <v>85.123101100052395</v>
      </c>
      <c r="Y33">
        <v>85.123101100052395</v>
      </c>
      <c r="Z33">
        <v>45.9818902093945</v>
      </c>
      <c r="AA33">
        <v>85.123101100052395</v>
      </c>
      <c r="AB33">
        <v>78.282421781315904</v>
      </c>
      <c r="AC33">
        <v>12011.825320084101</v>
      </c>
      <c r="AD33">
        <v>11.569015</v>
      </c>
      <c r="AE33">
        <v>840590</v>
      </c>
      <c r="AF33">
        <v>840061</v>
      </c>
      <c r="AG33" t="s">
        <v>81</v>
      </c>
      <c r="AH33" t="s">
        <v>119</v>
      </c>
      <c r="AI33" t="s">
        <v>47</v>
      </c>
      <c r="AJ33" t="s">
        <v>48</v>
      </c>
      <c r="AK33" t="s">
        <v>49</v>
      </c>
      <c r="AL33" t="s">
        <v>50</v>
      </c>
    </row>
  </sheetData>
  <sortState xmlns:xlrd2="http://schemas.microsoft.com/office/spreadsheetml/2017/richdata2" ref="A10:AL33">
    <sortCondition ref="B10:B33"/>
  </sortState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EAF3-4FE7-467A-9DC4-0E1416949AB5}">
  <dimension ref="A1:AL33"/>
  <sheetViews>
    <sheetView topLeftCell="A2" workbookViewId="0">
      <selection activeCell="P28" sqref="P28"/>
    </sheetView>
  </sheetViews>
  <sheetFormatPr baseColWidth="10" defaultColWidth="8.83203125" defaultRowHeight="16" x14ac:dyDescent="0.2"/>
  <sheetData>
    <row r="1" spans="1:38" x14ac:dyDescent="0.2">
      <c r="A1" t="s">
        <v>0</v>
      </c>
    </row>
    <row r="2" spans="1:38" x14ac:dyDescent="0.2">
      <c r="A2" t="s">
        <v>115</v>
      </c>
    </row>
    <row r="3" spans="1:38" x14ac:dyDescent="0.2">
      <c r="A3" t="s">
        <v>116</v>
      </c>
    </row>
    <row r="4" spans="1:38" x14ac:dyDescent="0.2">
      <c r="A4" t="s">
        <v>117</v>
      </c>
    </row>
    <row r="5" spans="1:38" x14ac:dyDescent="0.2">
      <c r="A5" t="s">
        <v>4</v>
      </c>
    </row>
    <row r="6" spans="1:38" x14ac:dyDescent="0.2">
      <c r="A6" t="s">
        <v>118</v>
      </c>
    </row>
    <row r="9" spans="1:38" x14ac:dyDescent="0.2">
      <c r="A9" t="s">
        <v>6</v>
      </c>
      <c r="B9" t="s">
        <v>7</v>
      </c>
      <c r="C9" t="s">
        <v>9</v>
      </c>
      <c r="D9" t="s">
        <v>8</v>
      </c>
      <c r="E9" t="s">
        <v>10</v>
      </c>
      <c r="F9" t="s">
        <v>11</v>
      </c>
      <c r="G9" t="s">
        <v>22</v>
      </c>
      <c r="H9" t="s">
        <v>23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  <c r="Q9" t="s">
        <v>20</v>
      </c>
      <c r="R9" t="s">
        <v>21</v>
      </c>
      <c r="S9" t="s">
        <v>24</v>
      </c>
      <c r="T9" t="s">
        <v>25</v>
      </c>
      <c r="U9" t="s">
        <v>26</v>
      </c>
      <c r="V9" t="s">
        <v>27</v>
      </c>
      <c r="W9" t="s">
        <v>28</v>
      </c>
      <c r="X9" t="s">
        <v>29</v>
      </c>
      <c r="Y9" t="s">
        <v>30</v>
      </c>
      <c r="Z9" t="s">
        <v>31</v>
      </c>
      <c r="AA9" t="s">
        <v>32</v>
      </c>
      <c r="AB9" t="s">
        <v>33</v>
      </c>
      <c r="AC9" t="s">
        <v>34</v>
      </c>
      <c r="AD9" t="s">
        <v>35</v>
      </c>
      <c r="AE9" t="s">
        <v>36</v>
      </c>
      <c r="AF9" t="s">
        <v>37</v>
      </c>
      <c r="AG9" t="s">
        <v>38</v>
      </c>
      <c r="AH9" t="s">
        <v>39</v>
      </c>
      <c r="AI9" t="s">
        <v>40</v>
      </c>
      <c r="AJ9" t="s">
        <v>41</v>
      </c>
      <c r="AK9" t="s">
        <v>42</v>
      </c>
      <c r="AL9" t="s">
        <v>43</v>
      </c>
    </row>
    <row r="10" spans="1:38" x14ac:dyDescent="0.2">
      <c r="A10">
        <v>0</v>
      </c>
      <c r="B10">
        <v>2.1</v>
      </c>
      <c r="C10" t="s">
        <v>45</v>
      </c>
      <c r="D10" t="s">
        <v>44</v>
      </c>
      <c r="E10">
        <v>84.658040665434399</v>
      </c>
      <c r="F10">
        <v>1660</v>
      </c>
      <c r="G10">
        <v>84.337349397590401</v>
      </c>
      <c r="H10">
        <v>299</v>
      </c>
      <c r="I10">
        <v>15.341959334565599</v>
      </c>
      <c r="J10">
        <v>67.583882635010397</v>
      </c>
      <c r="K10">
        <v>84.658040665434399</v>
      </c>
      <c r="L10">
        <v>81.893330320336005</v>
      </c>
      <c r="M10">
        <v>60.335316859690899</v>
      </c>
      <c r="N10">
        <v>84.658040665434399</v>
      </c>
      <c r="O10">
        <v>84.658040665434399</v>
      </c>
      <c r="P10">
        <v>62.3061203383593</v>
      </c>
      <c r="Q10">
        <v>84.658040665434399</v>
      </c>
      <c r="R10">
        <v>82.688968471474595</v>
      </c>
      <c r="S10">
        <v>15.662650602409601</v>
      </c>
      <c r="T10">
        <v>66.445470172046001</v>
      </c>
      <c r="U10">
        <v>84.337349397590401</v>
      </c>
      <c r="V10">
        <v>81.298059312160007</v>
      </c>
      <c r="W10">
        <v>59.260543600380302</v>
      </c>
      <c r="X10">
        <v>84.337349397590401</v>
      </c>
      <c r="Y10">
        <v>84.337349397590401</v>
      </c>
      <c r="Z10">
        <v>61.056897533951201</v>
      </c>
      <c r="AA10">
        <v>84.337349397590401</v>
      </c>
      <c r="AB10">
        <v>82.176494448187498</v>
      </c>
      <c r="AC10">
        <v>353363.81450032699</v>
      </c>
      <c r="AD10">
        <v>4.613766</v>
      </c>
      <c r="AE10">
        <v>32822</v>
      </c>
      <c r="AF10">
        <v>17245</v>
      </c>
      <c r="AG10" t="s">
        <v>46</v>
      </c>
      <c r="AH10" t="s">
        <v>119</v>
      </c>
      <c r="AI10" t="s">
        <v>47</v>
      </c>
      <c r="AJ10" t="s">
        <v>48</v>
      </c>
      <c r="AK10" t="s">
        <v>49</v>
      </c>
      <c r="AL10" t="s">
        <v>50</v>
      </c>
    </row>
    <row r="11" spans="1:38" x14ac:dyDescent="0.2">
      <c r="A11">
        <v>0</v>
      </c>
      <c r="B11">
        <v>2.1</v>
      </c>
      <c r="C11" t="s">
        <v>51</v>
      </c>
      <c r="D11" t="s">
        <v>44</v>
      </c>
      <c r="E11">
        <v>85.988909426987107</v>
      </c>
      <c r="F11">
        <v>1516</v>
      </c>
      <c r="G11">
        <v>85.227867993714</v>
      </c>
      <c r="H11">
        <v>282</v>
      </c>
      <c r="I11">
        <v>14.011090573012901</v>
      </c>
      <c r="J11">
        <v>75.892323115792905</v>
      </c>
      <c r="K11">
        <v>85.988909426987107</v>
      </c>
      <c r="L11">
        <v>83.417716758372194</v>
      </c>
      <c r="M11">
        <v>55.739658778463998</v>
      </c>
      <c r="N11">
        <v>85.988909426987107</v>
      </c>
      <c r="O11">
        <v>85.988909426987107</v>
      </c>
      <c r="P11">
        <v>56.758317379132997</v>
      </c>
      <c r="Q11">
        <v>85.988909426987107</v>
      </c>
      <c r="R11">
        <v>81.723924211371695</v>
      </c>
      <c r="S11">
        <v>14.772132006286</v>
      </c>
      <c r="T11">
        <v>69.568246653500097</v>
      </c>
      <c r="U11">
        <v>85.227867993714</v>
      </c>
      <c r="V11">
        <v>81.146508925474905</v>
      </c>
      <c r="W11">
        <v>53.853275429954202</v>
      </c>
      <c r="X11">
        <v>85.227867993714</v>
      </c>
      <c r="Y11">
        <v>85.227867993714</v>
      </c>
      <c r="Z11">
        <v>53.737358807070102</v>
      </c>
      <c r="AA11">
        <v>85.227867993714</v>
      </c>
      <c r="AB11">
        <v>80.509290109239103</v>
      </c>
      <c r="AC11">
        <v>13674.289050711101</v>
      </c>
      <c r="AD11">
        <v>68.964928</v>
      </c>
      <c r="AE11">
        <v>831190</v>
      </c>
      <c r="AF11">
        <v>830885</v>
      </c>
      <c r="AG11" t="s">
        <v>53</v>
      </c>
      <c r="AH11" t="s">
        <v>119</v>
      </c>
      <c r="AI11" t="s">
        <v>47</v>
      </c>
      <c r="AJ11" t="s">
        <v>48</v>
      </c>
      <c r="AK11" t="s">
        <v>49</v>
      </c>
      <c r="AL11" t="s">
        <v>50</v>
      </c>
    </row>
    <row r="12" spans="1:38" x14ac:dyDescent="0.2">
      <c r="A12">
        <v>0</v>
      </c>
      <c r="B12">
        <v>2.11</v>
      </c>
      <c r="C12" t="s">
        <v>51</v>
      </c>
      <c r="D12" t="s">
        <v>44</v>
      </c>
      <c r="E12">
        <v>83.835489833641404</v>
      </c>
      <c r="F12">
        <v>1749</v>
      </c>
      <c r="G12">
        <v>82.870612886327905</v>
      </c>
      <c r="H12">
        <v>327</v>
      </c>
      <c r="I12">
        <v>16.1645101663586</v>
      </c>
      <c r="J12">
        <v>65.669242388474899</v>
      </c>
      <c r="K12">
        <v>83.835489833641404</v>
      </c>
      <c r="L12">
        <v>81.404211390797599</v>
      </c>
      <c r="M12">
        <v>60.594701334935401</v>
      </c>
      <c r="N12">
        <v>83.835489833641404</v>
      </c>
      <c r="O12">
        <v>83.835489833641404</v>
      </c>
      <c r="P12">
        <v>62.210723533755001</v>
      </c>
      <c r="Q12">
        <v>83.835489833641404</v>
      </c>
      <c r="R12">
        <v>82.284636099000807</v>
      </c>
      <c r="S12">
        <v>17.129387113672099</v>
      </c>
      <c r="T12">
        <v>63.797293613368403</v>
      </c>
      <c r="U12">
        <v>82.870612886327905</v>
      </c>
      <c r="V12">
        <v>80.766844780473207</v>
      </c>
      <c r="W12">
        <v>60.278930083830303</v>
      </c>
      <c r="X12">
        <v>82.870612886327905</v>
      </c>
      <c r="Y12">
        <v>82.870612886327905</v>
      </c>
      <c r="Z12">
        <v>61.518668817658998</v>
      </c>
      <c r="AA12">
        <v>82.870612886327905</v>
      </c>
      <c r="AB12">
        <v>81.624332044063806</v>
      </c>
      <c r="AC12">
        <v>15938.039031992401</v>
      </c>
      <c r="AD12">
        <v>78.664755999999997</v>
      </c>
      <c r="AE12">
        <v>902366</v>
      </c>
      <c r="AF12">
        <v>902061</v>
      </c>
      <c r="AG12" t="s">
        <v>54</v>
      </c>
      <c r="AH12" t="s">
        <v>119</v>
      </c>
      <c r="AI12" t="s">
        <v>47</v>
      </c>
      <c r="AJ12" t="s">
        <v>48</v>
      </c>
      <c r="AK12" t="s">
        <v>49</v>
      </c>
      <c r="AL12" t="s">
        <v>50</v>
      </c>
    </row>
    <row r="13" spans="1:38" x14ac:dyDescent="0.2">
      <c r="A13">
        <v>0</v>
      </c>
      <c r="B13">
        <v>2.12</v>
      </c>
      <c r="C13" t="s">
        <v>51</v>
      </c>
      <c r="D13" t="s">
        <v>44</v>
      </c>
      <c r="E13">
        <v>85.110905730129403</v>
      </c>
      <c r="F13">
        <v>1611</v>
      </c>
      <c r="G13">
        <v>85.070717653221607</v>
      </c>
      <c r="H13">
        <v>285</v>
      </c>
      <c r="I13">
        <v>14.889094269870601</v>
      </c>
      <c r="J13" t="s">
        <v>52</v>
      </c>
      <c r="K13">
        <v>85.110905730129403</v>
      </c>
      <c r="L13" t="s">
        <v>52</v>
      </c>
      <c r="M13">
        <v>50</v>
      </c>
      <c r="N13">
        <v>85.110905730129403</v>
      </c>
      <c r="O13">
        <v>85.110905730129403</v>
      </c>
      <c r="P13">
        <v>45.978331419441801</v>
      </c>
      <c r="Q13">
        <v>85.110905730129403</v>
      </c>
      <c r="R13">
        <v>78.265148621375204</v>
      </c>
      <c r="S13">
        <v>14.9292823467784</v>
      </c>
      <c r="T13" t="s">
        <v>52</v>
      </c>
      <c r="U13">
        <v>85.070717653221607</v>
      </c>
      <c r="V13" t="s">
        <v>52</v>
      </c>
      <c r="W13">
        <v>50</v>
      </c>
      <c r="X13">
        <v>85.070717653221607</v>
      </c>
      <c r="Y13">
        <v>85.070717653221607</v>
      </c>
      <c r="Z13">
        <v>45.966600622700298</v>
      </c>
      <c r="AA13">
        <v>85.070717653221607</v>
      </c>
      <c r="AB13">
        <v>78.208234061042702</v>
      </c>
      <c r="AC13">
        <v>4571.1176340368302</v>
      </c>
      <c r="AD13">
        <v>55.059488999999999</v>
      </c>
      <c r="AE13">
        <v>2691930</v>
      </c>
      <c r="AF13">
        <v>2691629</v>
      </c>
      <c r="AG13" t="s">
        <v>120</v>
      </c>
      <c r="AH13" t="s">
        <v>119</v>
      </c>
      <c r="AI13" t="s">
        <v>47</v>
      </c>
      <c r="AJ13" t="s">
        <v>48</v>
      </c>
      <c r="AK13" t="s">
        <v>49</v>
      </c>
      <c r="AL13" t="s">
        <v>50</v>
      </c>
    </row>
    <row r="14" spans="1:38" x14ac:dyDescent="0.2">
      <c r="A14">
        <v>0</v>
      </c>
      <c r="B14">
        <v>2.13</v>
      </c>
      <c r="C14" t="s">
        <v>51</v>
      </c>
      <c r="D14" t="s">
        <v>44</v>
      </c>
      <c r="E14">
        <v>85.859519408502806</v>
      </c>
      <c r="F14">
        <v>1530</v>
      </c>
      <c r="G14">
        <v>85.489785227867998</v>
      </c>
      <c r="H14">
        <v>277</v>
      </c>
      <c r="I14">
        <v>14.1404805914972</v>
      </c>
      <c r="J14">
        <v>77.275453716072406</v>
      </c>
      <c r="K14">
        <v>85.859519408502806</v>
      </c>
      <c r="L14">
        <v>83.560068394342395</v>
      </c>
      <c r="M14">
        <v>54.306467123658997</v>
      </c>
      <c r="N14">
        <v>85.859519408502806</v>
      </c>
      <c r="O14">
        <v>85.859519408502806</v>
      </c>
      <c r="P14">
        <v>54.380282149685002</v>
      </c>
      <c r="Q14">
        <v>85.859519408502806</v>
      </c>
      <c r="R14">
        <v>80.991235052722104</v>
      </c>
      <c r="S14">
        <v>14.510214772132001</v>
      </c>
      <c r="T14">
        <v>72.798862448032196</v>
      </c>
      <c r="U14">
        <v>85.489785227867998</v>
      </c>
      <c r="V14">
        <v>82.110175106772004</v>
      </c>
      <c r="W14">
        <v>53.8625658975024</v>
      </c>
      <c r="X14">
        <v>85.489785227867998</v>
      </c>
      <c r="Y14">
        <v>85.489785227867998</v>
      </c>
      <c r="Z14">
        <v>53.677915338436897</v>
      </c>
      <c r="AA14">
        <v>85.489785227867998</v>
      </c>
      <c r="AB14">
        <v>80.603385491375093</v>
      </c>
      <c r="AC14">
        <v>8540.26910530026</v>
      </c>
      <c r="AD14">
        <v>23.706444999999999</v>
      </c>
      <c r="AE14">
        <v>1043970</v>
      </c>
      <c r="AF14">
        <v>1043669</v>
      </c>
      <c r="AG14" t="s">
        <v>121</v>
      </c>
      <c r="AH14" t="s">
        <v>119</v>
      </c>
      <c r="AI14" t="s">
        <v>47</v>
      </c>
      <c r="AJ14" t="s">
        <v>48</v>
      </c>
      <c r="AK14" t="s">
        <v>49</v>
      </c>
      <c r="AL14" t="s">
        <v>50</v>
      </c>
    </row>
    <row r="15" spans="1:38" x14ac:dyDescent="0.2">
      <c r="A15">
        <v>0</v>
      </c>
      <c r="B15">
        <v>2.14</v>
      </c>
      <c r="C15" t="s">
        <v>51</v>
      </c>
      <c r="D15" t="s">
        <v>44</v>
      </c>
      <c r="E15">
        <v>85.110905730129403</v>
      </c>
      <c r="F15">
        <v>1611</v>
      </c>
      <c r="G15">
        <v>85.070717653221607</v>
      </c>
      <c r="H15">
        <v>285</v>
      </c>
      <c r="I15">
        <v>14.889094269870601</v>
      </c>
      <c r="J15" t="s">
        <v>52</v>
      </c>
      <c r="K15">
        <v>85.110905730129403</v>
      </c>
      <c r="L15" t="s">
        <v>52</v>
      </c>
      <c r="M15">
        <v>50</v>
      </c>
      <c r="N15">
        <v>85.110905730129403</v>
      </c>
      <c r="O15">
        <v>85.110905730129403</v>
      </c>
      <c r="P15">
        <v>45.978331419441801</v>
      </c>
      <c r="Q15">
        <v>85.110905730129403</v>
      </c>
      <c r="R15">
        <v>78.265148621375204</v>
      </c>
      <c r="S15">
        <v>14.9292823467784</v>
      </c>
      <c r="T15" t="s">
        <v>52</v>
      </c>
      <c r="U15">
        <v>85.070717653221607</v>
      </c>
      <c r="V15" t="s">
        <v>52</v>
      </c>
      <c r="W15">
        <v>50</v>
      </c>
      <c r="X15">
        <v>85.070717653221607</v>
      </c>
      <c r="Y15">
        <v>85.070717653221607</v>
      </c>
      <c r="Z15">
        <v>45.966600622700298</v>
      </c>
      <c r="AA15">
        <v>85.070717653221607</v>
      </c>
      <c r="AB15">
        <v>78.208234061042702</v>
      </c>
      <c r="AC15">
        <v>9144.0045500296201</v>
      </c>
      <c r="AD15">
        <v>31.761886000000001</v>
      </c>
      <c r="AE15">
        <v>852762</v>
      </c>
      <c r="AF15">
        <v>852461</v>
      </c>
      <c r="AG15" t="s">
        <v>122</v>
      </c>
      <c r="AH15" t="s">
        <v>119</v>
      </c>
      <c r="AI15" t="s">
        <v>47</v>
      </c>
      <c r="AJ15" t="s">
        <v>48</v>
      </c>
      <c r="AK15" t="s">
        <v>49</v>
      </c>
      <c r="AL15" t="s">
        <v>50</v>
      </c>
    </row>
    <row r="16" spans="1:38" x14ac:dyDescent="0.2">
      <c r="A16">
        <v>0</v>
      </c>
      <c r="B16">
        <v>2.15</v>
      </c>
      <c r="C16" t="s">
        <v>58</v>
      </c>
      <c r="D16" t="s">
        <v>44</v>
      </c>
      <c r="E16">
        <v>86.469500924214401</v>
      </c>
      <c r="F16">
        <v>1464</v>
      </c>
      <c r="G16">
        <v>86.170770036668401</v>
      </c>
      <c r="H16">
        <v>264</v>
      </c>
      <c r="I16">
        <v>13.530499075785601</v>
      </c>
      <c r="J16">
        <v>75.739545222175195</v>
      </c>
      <c r="K16">
        <v>86.469500924214401</v>
      </c>
      <c r="L16">
        <v>84.094351885845398</v>
      </c>
      <c r="M16">
        <v>59.478956805473103</v>
      </c>
      <c r="N16">
        <v>86.469500924214401</v>
      </c>
      <c r="O16">
        <v>86.469500924214401</v>
      </c>
      <c r="P16">
        <v>62.072099329012602</v>
      </c>
      <c r="Q16">
        <v>86.469500924214401</v>
      </c>
      <c r="R16">
        <v>83.433179914440501</v>
      </c>
      <c r="S16">
        <v>13.829229963331599</v>
      </c>
      <c r="T16">
        <v>73.774466584376697</v>
      </c>
      <c r="U16">
        <v>86.170770036668401</v>
      </c>
      <c r="V16">
        <v>83.5671806390189</v>
      </c>
      <c r="W16">
        <v>59.904178549822802</v>
      </c>
      <c r="X16">
        <v>86.170770036668401</v>
      </c>
      <c r="Y16">
        <v>86.170770036668401</v>
      </c>
      <c r="Z16">
        <v>62.4736409449945</v>
      </c>
      <c r="AA16">
        <v>86.170770036668401</v>
      </c>
      <c r="AB16">
        <v>83.390223577658503</v>
      </c>
      <c r="AC16">
        <v>43216.558092719897</v>
      </c>
      <c r="AD16">
        <v>21.466025999999999</v>
      </c>
      <c r="AE16">
        <v>392225</v>
      </c>
      <c r="AF16">
        <v>191646</v>
      </c>
      <c r="AG16" t="s">
        <v>59</v>
      </c>
      <c r="AH16" t="s">
        <v>119</v>
      </c>
      <c r="AI16" t="s">
        <v>47</v>
      </c>
      <c r="AJ16" t="s">
        <v>48</v>
      </c>
      <c r="AK16" t="s">
        <v>49</v>
      </c>
      <c r="AL16" t="s">
        <v>50</v>
      </c>
    </row>
    <row r="17" spans="1:38" x14ac:dyDescent="0.2">
      <c r="A17">
        <v>0</v>
      </c>
      <c r="B17">
        <v>2.16</v>
      </c>
      <c r="C17" t="s">
        <v>58</v>
      </c>
      <c r="D17" t="s">
        <v>44</v>
      </c>
      <c r="E17">
        <v>86.146025878003698</v>
      </c>
      <c r="F17">
        <v>1499</v>
      </c>
      <c r="G17">
        <v>86.013619696175994</v>
      </c>
      <c r="H17">
        <v>267</v>
      </c>
      <c r="I17">
        <v>13.8539741219963</v>
      </c>
      <c r="J17">
        <v>73.435105662663503</v>
      </c>
      <c r="K17">
        <v>86.146025878003698</v>
      </c>
      <c r="L17">
        <v>83.507860334769802</v>
      </c>
      <c r="M17">
        <v>59.929104115687402</v>
      </c>
      <c r="N17">
        <v>86.146025878003698</v>
      </c>
      <c r="O17">
        <v>86.146025878003698</v>
      </c>
      <c r="P17">
        <v>62.484043636270101</v>
      </c>
      <c r="Q17">
        <v>86.146025878003698</v>
      </c>
      <c r="R17">
        <v>83.406159436653198</v>
      </c>
      <c r="S17">
        <v>13.986380303823999</v>
      </c>
      <c r="T17">
        <v>72.948607812421002</v>
      </c>
      <c r="U17">
        <v>86.013619696175994</v>
      </c>
      <c r="V17">
        <v>83.306246008008898</v>
      </c>
      <c r="W17">
        <v>59.811814017803101</v>
      </c>
      <c r="X17">
        <v>86.013619696175994</v>
      </c>
      <c r="Y17">
        <v>86.013619696175994</v>
      </c>
      <c r="Z17">
        <v>62.302444003150697</v>
      </c>
      <c r="AA17">
        <v>86.013619696175994</v>
      </c>
      <c r="AB17">
        <v>83.272895953587195</v>
      </c>
      <c r="AC17">
        <v>14044.415138373801</v>
      </c>
      <c r="AD17">
        <v>48.078836000000003</v>
      </c>
      <c r="AE17">
        <v>5524597</v>
      </c>
      <c r="AF17">
        <v>4063402</v>
      </c>
      <c r="AG17" t="s">
        <v>60</v>
      </c>
      <c r="AH17" t="s">
        <v>119</v>
      </c>
      <c r="AI17" t="s">
        <v>47</v>
      </c>
      <c r="AJ17" t="s">
        <v>48</v>
      </c>
      <c r="AK17" t="s">
        <v>49</v>
      </c>
      <c r="AL17" t="s">
        <v>50</v>
      </c>
    </row>
    <row r="18" spans="1:38" x14ac:dyDescent="0.2">
      <c r="A18">
        <v>0</v>
      </c>
      <c r="B18">
        <v>2.17</v>
      </c>
      <c r="C18" t="s">
        <v>58</v>
      </c>
      <c r="D18" t="s">
        <v>44</v>
      </c>
      <c r="E18">
        <v>71.709796672828105</v>
      </c>
      <c r="F18">
        <v>3061</v>
      </c>
      <c r="G18">
        <v>71.451021477213203</v>
      </c>
      <c r="H18">
        <v>545</v>
      </c>
      <c r="I18">
        <v>28.290203327171898</v>
      </c>
      <c r="J18">
        <v>63.306973836621403</v>
      </c>
      <c r="K18">
        <v>71.709796672828105</v>
      </c>
      <c r="L18">
        <v>85.475254360752899</v>
      </c>
      <c r="M18">
        <v>74.392278382029701</v>
      </c>
      <c r="N18">
        <v>71.709796672828105</v>
      </c>
      <c r="O18">
        <v>71.709796672828105</v>
      </c>
      <c r="P18">
        <v>63.0461178257532</v>
      </c>
      <c r="Q18">
        <v>71.709796672828105</v>
      </c>
      <c r="R18">
        <v>75.610850003664098</v>
      </c>
      <c r="S18">
        <v>28.5489785227868</v>
      </c>
      <c r="T18">
        <v>63.469580300739601</v>
      </c>
      <c r="U18">
        <v>71.451021477213203</v>
      </c>
      <c r="V18">
        <v>85.688186819031102</v>
      </c>
      <c r="W18">
        <v>74.830719038976795</v>
      </c>
      <c r="X18">
        <v>71.451021477213203</v>
      </c>
      <c r="Y18">
        <v>71.451021477213203</v>
      </c>
      <c r="Z18">
        <v>63.0561743012967</v>
      </c>
      <c r="AA18">
        <v>71.451021477213203</v>
      </c>
      <c r="AB18">
        <v>75.408592288716704</v>
      </c>
      <c r="AC18">
        <v>24557.087284331101</v>
      </c>
      <c r="AD18">
        <v>16.977035000000001</v>
      </c>
      <c r="AE18">
        <v>369797</v>
      </c>
      <c r="AF18">
        <v>170994</v>
      </c>
      <c r="AG18" t="s">
        <v>61</v>
      </c>
      <c r="AH18" t="s">
        <v>119</v>
      </c>
      <c r="AI18" t="s">
        <v>47</v>
      </c>
      <c r="AJ18" t="s">
        <v>48</v>
      </c>
      <c r="AK18" t="s">
        <v>49</v>
      </c>
      <c r="AL18" t="s">
        <v>50</v>
      </c>
    </row>
    <row r="19" spans="1:38" x14ac:dyDescent="0.2">
      <c r="A19">
        <v>0</v>
      </c>
      <c r="B19">
        <v>2.1800000000000002</v>
      </c>
      <c r="C19" t="s">
        <v>62</v>
      </c>
      <c r="D19" t="s">
        <v>44</v>
      </c>
      <c r="E19">
        <v>85.018484288354898</v>
      </c>
      <c r="F19">
        <v>1621</v>
      </c>
      <c r="G19">
        <v>85.070717653221607</v>
      </c>
      <c r="H19">
        <v>285</v>
      </c>
      <c r="I19">
        <v>14.9815157116451</v>
      </c>
      <c r="J19">
        <v>68.813866780343901</v>
      </c>
      <c r="K19">
        <v>85.018484288354898</v>
      </c>
      <c r="L19">
        <v>82.421590456942894</v>
      </c>
      <c r="M19">
        <v>61.161637884403</v>
      </c>
      <c r="N19">
        <v>85.018484288354898</v>
      </c>
      <c r="O19">
        <v>85.018484288354898</v>
      </c>
      <c r="P19">
        <v>63.307125631675298</v>
      </c>
      <c r="Q19">
        <v>85.018484288354898</v>
      </c>
      <c r="R19">
        <v>83.127250955891498</v>
      </c>
      <c r="S19">
        <v>14.9292823467784</v>
      </c>
      <c r="T19">
        <v>68.944538766270497</v>
      </c>
      <c r="U19">
        <v>85.070717653221607</v>
      </c>
      <c r="V19">
        <v>82.2325101691182</v>
      </c>
      <c r="W19">
        <v>60.270179759744202</v>
      </c>
      <c r="X19">
        <v>85.070717653221607</v>
      </c>
      <c r="Y19">
        <v>85.070717653221607</v>
      </c>
      <c r="Z19">
        <v>62.425334453992797</v>
      </c>
      <c r="AA19">
        <v>85.070717653221607</v>
      </c>
      <c r="AB19">
        <v>82.885636818208297</v>
      </c>
      <c r="AC19">
        <v>207120.980091884</v>
      </c>
      <c r="AD19">
        <v>35.813654999999997</v>
      </c>
      <c r="AE19">
        <v>12295</v>
      </c>
      <c r="AF19">
        <v>11529</v>
      </c>
      <c r="AG19" t="s">
        <v>63</v>
      </c>
      <c r="AH19" t="s">
        <v>119</v>
      </c>
      <c r="AI19" t="s">
        <v>47</v>
      </c>
      <c r="AJ19" t="s">
        <v>48</v>
      </c>
      <c r="AK19" t="s">
        <v>49</v>
      </c>
      <c r="AL19" t="s">
        <v>50</v>
      </c>
    </row>
    <row r="20" spans="1:38" x14ac:dyDescent="0.2">
      <c r="A20">
        <v>0</v>
      </c>
      <c r="B20">
        <v>2.19</v>
      </c>
      <c r="C20" t="s">
        <v>62</v>
      </c>
      <c r="D20" t="s">
        <v>44</v>
      </c>
      <c r="E20">
        <v>82.929759704251396</v>
      </c>
      <c r="F20">
        <v>1847</v>
      </c>
      <c r="G20">
        <v>82.870612886327905</v>
      </c>
      <c r="H20">
        <v>327</v>
      </c>
      <c r="I20">
        <v>17.070240295748601</v>
      </c>
      <c r="J20">
        <v>64.660542690249002</v>
      </c>
      <c r="K20">
        <v>82.929759704251396</v>
      </c>
      <c r="L20">
        <v>81.449307914292305</v>
      </c>
      <c r="M20">
        <v>62.034363867856896</v>
      </c>
      <c r="N20">
        <v>82.929759704251396</v>
      </c>
      <c r="O20">
        <v>82.929759704251396</v>
      </c>
      <c r="P20">
        <v>63.087231525001997</v>
      </c>
      <c r="Q20">
        <v>82.929759704251396</v>
      </c>
      <c r="R20">
        <v>82.091836227628605</v>
      </c>
      <c r="S20">
        <v>17.129387113672099</v>
      </c>
      <c r="T20">
        <v>62.833070447036498</v>
      </c>
      <c r="U20">
        <v>82.870612886327905</v>
      </c>
      <c r="V20">
        <v>80.109483406605904</v>
      </c>
      <c r="W20">
        <v>58.543125054014297</v>
      </c>
      <c r="X20">
        <v>82.870612886327905</v>
      </c>
      <c r="Y20">
        <v>82.870612886327905</v>
      </c>
      <c r="Z20">
        <v>59.813501656082103</v>
      </c>
      <c r="AA20">
        <v>82.870612886327905</v>
      </c>
      <c r="AB20">
        <v>81.164450437063493</v>
      </c>
      <c r="AC20">
        <v>211142.55049273101</v>
      </c>
      <c r="AD20">
        <v>54.240704999999998</v>
      </c>
      <c r="AE20">
        <v>16135</v>
      </c>
      <c r="AF20">
        <v>15369</v>
      </c>
      <c r="AG20" t="s">
        <v>64</v>
      </c>
      <c r="AH20" t="s">
        <v>119</v>
      </c>
      <c r="AI20" t="s">
        <v>47</v>
      </c>
      <c r="AJ20" t="s">
        <v>48</v>
      </c>
      <c r="AK20" t="s">
        <v>49</v>
      </c>
      <c r="AL20" t="s">
        <v>50</v>
      </c>
    </row>
    <row r="21" spans="1:38" x14ac:dyDescent="0.2">
      <c r="A21">
        <v>0</v>
      </c>
      <c r="B21">
        <v>2.2000000000000002</v>
      </c>
      <c r="C21" t="s">
        <v>45</v>
      </c>
      <c r="D21" t="s">
        <v>44</v>
      </c>
      <c r="E21">
        <v>85.600739371534203</v>
      </c>
      <c r="F21">
        <v>1558</v>
      </c>
      <c r="G21">
        <v>85.8564693556836</v>
      </c>
      <c r="H21">
        <v>270</v>
      </c>
      <c r="I21">
        <v>14.3992606284658</v>
      </c>
      <c r="J21">
        <v>71.031167227708906</v>
      </c>
      <c r="K21">
        <v>85.600739371534203</v>
      </c>
      <c r="L21">
        <v>82.422359772346098</v>
      </c>
      <c r="M21">
        <v>58.021121889841503</v>
      </c>
      <c r="N21">
        <v>85.600739371534203</v>
      </c>
      <c r="O21">
        <v>85.600739371534203</v>
      </c>
      <c r="P21">
        <v>59.969163720752697</v>
      </c>
      <c r="Q21">
        <v>85.600739371534203</v>
      </c>
      <c r="R21">
        <v>82.462662426532106</v>
      </c>
      <c r="S21">
        <v>14.1435306443164</v>
      </c>
      <c r="T21">
        <v>72.129319955406899</v>
      </c>
      <c r="U21">
        <v>85.8564693556836</v>
      </c>
      <c r="V21">
        <v>83.076701162655596</v>
      </c>
      <c r="W21">
        <v>59.864099904934797</v>
      </c>
      <c r="X21">
        <v>85.8564693556836</v>
      </c>
      <c r="Y21">
        <v>85.8564693556836</v>
      </c>
      <c r="Z21">
        <v>62.300321825628998</v>
      </c>
      <c r="AA21">
        <v>85.8564693556836</v>
      </c>
      <c r="AB21">
        <v>83.202695280064503</v>
      </c>
      <c r="AC21">
        <v>410688.52956805599</v>
      </c>
      <c r="AD21">
        <v>0.73515299999999995</v>
      </c>
      <c r="AE21">
        <v>11978</v>
      </c>
      <c r="AF21">
        <v>9009</v>
      </c>
      <c r="AG21" t="s">
        <v>65</v>
      </c>
      <c r="AH21" t="s">
        <v>119</v>
      </c>
      <c r="AI21" t="s">
        <v>47</v>
      </c>
      <c r="AJ21" t="s">
        <v>48</v>
      </c>
      <c r="AK21" t="s">
        <v>49</v>
      </c>
      <c r="AL21" t="s">
        <v>50</v>
      </c>
    </row>
    <row r="22" spans="1:38" x14ac:dyDescent="0.2">
      <c r="A22">
        <v>0</v>
      </c>
      <c r="B22">
        <v>2.2000000000000002</v>
      </c>
      <c r="C22" t="s">
        <v>62</v>
      </c>
      <c r="D22" t="s">
        <v>44</v>
      </c>
      <c r="E22">
        <v>79.519408502772606</v>
      </c>
      <c r="F22">
        <v>2216</v>
      </c>
      <c r="G22">
        <v>79.937139863802997</v>
      </c>
      <c r="H22">
        <v>383</v>
      </c>
      <c r="I22">
        <v>20.480591497227401</v>
      </c>
      <c r="J22">
        <v>60.338138962162198</v>
      </c>
      <c r="K22">
        <v>79.519408502772606</v>
      </c>
      <c r="L22">
        <v>80.027315667047105</v>
      </c>
      <c r="M22">
        <v>60.850317871776703</v>
      </c>
      <c r="N22">
        <v>79.519408502772606</v>
      </c>
      <c r="O22">
        <v>79.519408502772606</v>
      </c>
      <c r="P22">
        <v>60.578471089598601</v>
      </c>
      <c r="Q22">
        <v>79.519408502772606</v>
      </c>
      <c r="R22">
        <v>79.766903418304807</v>
      </c>
      <c r="S22">
        <v>20.062860136196999</v>
      </c>
      <c r="T22">
        <v>60.9573189122166</v>
      </c>
      <c r="U22">
        <v>79.937139863802997</v>
      </c>
      <c r="V22">
        <v>80.254190783267703</v>
      </c>
      <c r="W22">
        <v>61.303150116670999</v>
      </c>
      <c r="X22">
        <v>79.937139863802997</v>
      </c>
      <c r="Y22">
        <v>79.937139863802997</v>
      </c>
      <c r="Z22">
        <v>61.1236153404828</v>
      </c>
      <c r="AA22">
        <v>79.937139863802997</v>
      </c>
      <c r="AB22">
        <v>80.092974780788396</v>
      </c>
      <c r="AC22">
        <v>143579.39993895899</v>
      </c>
      <c r="AD22">
        <v>52.553255999999998</v>
      </c>
      <c r="AE22">
        <v>35335</v>
      </c>
      <c r="AF22">
        <v>34569</v>
      </c>
      <c r="AG22" t="s">
        <v>66</v>
      </c>
      <c r="AH22" t="s">
        <v>119</v>
      </c>
      <c r="AI22" t="s">
        <v>47</v>
      </c>
      <c r="AJ22" t="s">
        <v>48</v>
      </c>
      <c r="AK22" t="s">
        <v>49</v>
      </c>
      <c r="AL22" t="s">
        <v>50</v>
      </c>
    </row>
    <row r="23" spans="1:38" x14ac:dyDescent="0.2">
      <c r="A23">
        <v>0</v>
      </c>
      <c r="B23">
        <v>2.21</v>
      </c>
      <c r="C23" t="s">
        <v>62</v>
      </c>
      <c r="D23" t="s">
        <v>44</v>
      </c>
      <c r="E23">
        <v>84.547134935304996</v>
      </c>
      <c r="F23">
        <v>1672</v>
      </c>
      <c r="G23">
        <v>84.494499738082794</v>
      </c>
      <c r="H23">
        <v>296</v>
      </c>
      <c r="I23">
        <v>15.452865064695001</v>
      </c>
      <c r="J23">
        <v>67.273334987062896</v>
      </c>
      <c r="K23">
        <v>84.547134935304996</v>
      </c>
      <c r="L23">
        <v>81.801377051125698</v>
      </c>
      <c r="M23">
        <v>60.321377509748601</v>
      </c>
      <c r="N23">
        <v>84.547134935304996</v>
      </c>
      <c r="O23">
        <v>84.547134935304996</v>
      </c>
      <c r="P23">
        <v>62.244689433361501</v>
      </c>
      <c r="Q23">
        <v>84.547134935304996</v>
      </c>
      <c r="R23">
        <v>82.621551016306</v>
      </c>
      <c r="S23">
        <v>15.5055002619172</v>
      </c>
      <c r="T23">
        <v>67.4118468000853</v>
      </c>
      <c r="U23">
        <v>84.494499738082794</v>
      </c>
      <c r="V23">
        <v>81.934813329595499</v>
      </c>
      <c r="W23">
        <v>60.944062743064599</v>
      </c>
      <c r="X23">
        <v>84.494499738082794</v>
      </c>
      <c r="Y23">
        <v>84.494499738082794</v>
      </c>
      <c r="Z23">
        <v>62.859726888878399</v>
      </c>
      <c r="AA23">
        <v>84.494499738082794</v>
      </c>
      <c r="AB23">
        <v>82.742335567728503</v>
      </c>
      <c r="AC23">
        <v>163030.37608486001</v>
      </c>
      <c r="AD23">
        <v>50.142609</v>
      </c>
      <c r="AE23">
        <v>14067</v>
      </c>
      <c r="AF23">
        <v>12777</v>
      </c>
      <c r="AG23" t="s">
        <v>67</v>
      </c>
      <c r="AH23" t="s">
        <v>119</v>
      </c>
      <c r="AI23" t="s">
        <v>47</v>
      </c>
      <c r="AJ23" t="s">
        <v>48</v>
      </c>
      <c r="AK23" t="s">
        <v>49</v>
      </c>
      <c r="AL23" t="s">
        <v>50</v>
      </c>
    </row>
    <row r="24" spans="1:38" x14ac:dyDescent="0.2">
      <c r="A24">
        <v>0</v>
      </c>
      <c r="B24">
        <v>2.2200000000000002</v>
      </c>
      <c r="C24" t="s">
        <v>62</v>
      </c>
      <c r="D24" t="s">
        <v>44</v>
      </c>
      <c r="E24">
        <v>84.0850277264325</v>
      </c>
      <c r="F24">
        <v>1722</v>
      </c>
      <c r="G24">
        <v>84.232582503928796</v>
      </c>
      <c r="H24">
        <v>301</v>
      </c>
      <c r="I24">
        <v>15.9149722735675</v>
      </c>
      <c r="J24">
        <v>66.501826416678696</v>
      </c>
      <c r="K24">
        <v>84.0850277264325</v>
      </c>
      <c r="L24">
        <v>81.812067483778094</v>
      </c>
      <c r="M24">
        <v>61.381475857659296</v>
      </c>
      <c r="N24">
        <v>84.0850277264325</v>
      </c>
      <c r="O24">
        <v>84.0850277264325</v>
      </c>
      <c r="P24">
        <v>63.071347383157097</v>
      </c>
      <c r="Q24">
        <v>84.0850277264325</v>
      </c>
      <c r="R24">
        <v>82.632967482177804</v>
      </c>
      <c r="S24">
        <v>15.7674174960712</v>
      </c>
      <c r="T24">
        <v>65.582527583090297</v>
      </c>
      <c r="U24">
        <v>84.232582503928796</v>
      </c>
      <c r="V24">
        <v>80.763332166070697</v>
      </c>
      <c r="W24">
        <v>57.8971134733385</v>
      </c>
      <c r="X24">
        <v>84.232582503928796</v>
      </c>
      <c r="Y24">
        <v>84.232582503928796</v>
      </c>
      <c r="Z24">
        <v>59.483703833757502</v>
      </c>
      <c r="AA24">
        <v>84.232582503928796</v>
      </c>
      <c r="AB24">
        <v>81.694661299816005</v>
      </c>
      <c r="AC24">
        <v>258820.71522545099</v>
      </c>
      <c r="AD24">
        <v>54.289313999999997</v>
      </c>
      <c r="AE24">
        <v>15839</v>
      </c>
      <c r="AF24">
        <v>14025</v>
      </c>
      <c r="AG24" t="s">
        <v>68</v>
      </c>
      <c r="AH24" t="s">
        <v>119</v>
      </c>
      <c r="AI24" t="s">
        <v>47</v>
      </c>
      <c r="AJ24" t="s">
        <v>48</v>
      </c>
      <c r="AK24" t="s">
        <v>49</v>
      </c>
      <c r="AL24" t="s">
        <v>50</v>
      </c>
    </row>
    <row r="25" spans="1:38" x14ac:dyDescent="0.2">
      <c r="A25">
        <v>0</v>
      </c>
      <c r="B25">
        <v>2.23</v>
      </c>
      <c r="C25" t="s">
        <v>69</v>
      </c>
      <c r="D25" t="s">
        <v>44</v>
      </c>
      <c r="E25">
        <v>85.443622920517598</v>
      </c>
      <c r="F25">
        <v>1575</v>
      </c>
      <c r="G25">
        <v>85.018334206390804</v>
      </c>
      <c r="H25">
        <v>286</v>
      </c>
      <c r="I25">
        <v>14.556377079482401</v>
      </c>
      <c r="J25">
        <v>74.881044238683103</v>
      </c>
      <c r="K25">
        <v>85.443622920517598</v>
      </c>
      <c r="L25">
        <v>82.478021976715894</v>
      </c>
      <c r="M25">
        <v>52.295247429865</v>
      </c>
      <c r="N25">
        <v>85.443622920517598</v>
      </c>
      <c r="O25">
        <v>85.443622920517598</v>
      </c>
      <c r="P25">
        <v>50.758266067985303</v>
      </c>
      <c r="Q25">
        <v>85.443622920517598</v>
      </c>
      <c r="R25">
        <v>79.779226465027506</v>
      </c>
      <c r="S25">
        <v>14.981665793609199</v>
      </c>
      <c r="T25">
        <v>66.526684826473002</v>
      </c>
      <c r="U25">
        <v>85.018334206390804</v>
      </c>
      <c r="V25">
        <v>79.788772946296206</v>
      </c>
      <c r="W25">
        <v>51.415716014173398</v>
      </c>
      <c r="X25">
        <v>85.018334206390804</v>
      </c>
      <c r="Y25">
        <v>85.018334206390804</v>
      </c>
      <c r="Z25">
        <v>49.1962198698766</v>
      </c>
      <c r="AA25">
        <v>85.018334206390804</v>
      </c>
      <c r="AB25">
        <v>79.118747066752803</v>
      </c>
      <c r="AC25">
        <v>60013.755463359397</v>
      </c>
      <c r="AD25">
        <v>55.595737999999997</v>
      </c>
      <c r="AE25">
        <v>20465</v>
      </c>
      <c r="AF25">
        <v>29235</v>
      </c>
      <c r="AG25" t="s">
        <v>70</v>
      </c>
      <c r="AH25" t="s">
        <v>119</v>
      </c>
      <c r="AI25" t="s">
        <v>47</v>
      </c>
      <c r="AJ25" t="s">
        <v>48</v>
      </c>
      <c r="AK25" t="s">
        <v>49</v>
      </c>
      <c r="AL25" t="s">
        <v>50</v>
      </c>
    </row>
    <row r="26" spans="1:38" x14ac:dyDescent="0.2">
      <c r="A26">
        <v>0</v>
      </c>
      <c r="B26">
        <v>2.2400000000000002</v>
      </c>
      <c r="C26" t="s">
        <v>69</v>
      </c>
      <c r="D26" t="s">
        <v>44</v>
      </c>
      <c r="E26">
        <v>85.536044362292003</v>
      </c>
      <c r="F26">
        <v>1565</v>
      </c>
      <c r="G26">
        <v>85.175484546883197</v>
      </c>
      <c r="H26">
        <v>283</v>
      </c>
      <c r="I26">
        <v>14.463955637707899</v>
      </c>
      <c r="J26">
        <v>71.368950170011104</v>
      </c>
      <c r="K26">
        <v>85.536044362292003</v>
      </c>
      <c r="L26">
        <v>82.056160423481202</v>
      </c>
      <c r="M26">
        <v>55.627257603433399</v>
      </c>
      <c r="N26">
        <v>85.536044362292003</v>
      </c>
      <c r="O26">
        <v>85.536044362292003</v>
      </c>
      <c r="P26">
        <v>56.598169814693897</v>
      </c>
      <c r="Q26">
        <v>85.536044362292003</v>
      </c>
      <c r="R26">
        <v>81.484414388847895</v>
      </c>
      <c r="S26">
        <v>14.824515453116801</v>
      </c>
      <c r="T26">
        <v>68.948026110261594</v>
      </c>
      <c r="U26">
        <v>85.175484546883197</v>
      </c>
      <c r="V26">
        <v>81.175694566444093</v>
      </c>
      <c r="W26">
        <v>54.979690605824899</v>
      </c>
      <c r="X26">
        <v>85.175484546883197</v>
      </c>
      <c r="Y26">
        <v>85.175484546883197</v>
      </c>
      <c r="Z26">
        <v>55.605271353757097</v>
      </c>
      <c r="AA26">
        <v>85.175484546883197</v>
      </c>
      <c r="AB26">
        <v>81.018952653882806</v>
      </c>
      <c r="AC26">
        <v>33596.224306029901</v>
      </c>
      <c r="AD26">
        <v>33.508037000000002</v>
      </c>
      <c r="AE26">
        <v>20499</v>
      </c>
      <c r="AF26">
        <v>29235</v>
      </c>
      <c r="AG26" t="s">
        <v>71</v>
      </c>
      <c r="AH26" t="s">
        <v>119</v>
      </c>
      <c r="AI26" t="s">
        <v>47</v>
      </c>
      <c r="AJ26" t="s">
        <v>48</v>
      </c>
      <c r="AK26" t="s">
        <v>49</v>
      </c>
      <c r="AL26" t="s">
        <v>50</v>
      </c>
    </row>
    <row r="27" spans="1:38" x14ac:dyDescent="0.2">
      <c r="A27">
        <v>0</v>
      </c>
      <c r="B27">
        <v>2.2999999999999998</v>
      </c>
      <c r="C27" t="s">
        <v>45</v>
      </c>
      <c r="D27" t="s">
        <v>44</v>
      </c>
      <c r="E27">
        <v>85.221811460258806</v>
      </c>
      <c r="F27">
        <v>1599</v>
      </c>
      <c r="G27">
        <v>85.437401781037195</v>
      </c>
      <c r="H27">
        <v>278</v>
      </c>
      <c r="I27">
        <v>14.778188539741199</v>
      </c>
      <c r="J27">
        <v>70.538233341631397</v>
      </c>
      <c r="K27">
        <v>85.221811460258806</v>
      </c>
      <c r="L27">
        <v>81.059341088267701</v>
      </c>
      <c r="M27">
        <v>51.601582776787303</v>
      </c>
      <c r="N27">
        <v>85.221811460258806</v>
      </c>
      <c r="O27">
        <v>85.221811460258806</v>
      </c>
      <c r="P27">
        <v>49.477048652824401</v>
      </c>
      <c r="Q27">
        <v>85.221811460258806</v>
      </c>
      <c r="R27">
        <v>79.318682298675</v>
      </c>
      <c r="S27">
        <v>14.562598218962799</v>
      </c>
      <c r="T27">
        <v>70.455303123842498</v>
      </c>
      <c r="U27">
        <v>85.437401781037195</v>
      </c>
      <c r="V27">
        <v>82.044575279812307</v>
      </c>
      <c r="W27">
        <v>57.158737360643002</v>
      </c>
      <c r="X27">
        <v>85.437401781037195</v>
      </c>
      <c r="Y27">
        <v>85.437401781037195</v>
      </c>
      <c r="Z27">
        <v>58.798219953169699</v>
      </c>
      <c r="AA27">
        <v>85.437401781037195</v>
      </c>
      <c r="AB27">
        <v>82.035916674677594</v>
      </c>
      <c r="AC27">
        <v>387369.32550479699</v>
      </c>
      <c r="AD27">
        <v>1.911921</v>
      </c>
      <c r="AE27">
        <v>8574</v>
      </c>
      <c r="AF27">
        <v>7965</v>
      </c>
      <c r="AG27" t="s">
        <v>72</v>
      </c>
      <c r="AH27" t="s">
        <v>119</v>
      </c>
      <c r="AI27" t="s">
        <v>47</v>
      </c>
      <c r="AJ27" t="s">
        <v>48</v>
      </c>
      <c r="AK27" t="s">
        <v>49</v>
      </c>
      <c r="AL27" t="s">
        <v>50</v>
      </c>
    </row>
    <row r="28" spans="1:38" x14ac:dyDescent="0.2">
      <c r="A28">
        <v>0</v>
      </c>
      <c r="B28">
        <v>2.4</v>
      </c>
      <c r="C28" t="s">
        <v>73</v>
      </c>
      <c r="D28" t="s">
        <v>44</v>
      </c>
      <c r="E28">
        <v>86.497227356746805</v>
      </c>
      <c r="F28">
        <v>1461</v>
      </c>
      <c r="G28">
        <v>86.432687270822399</v>
      </c>
      <c r="H28">
        <v>259</v>
      </c>
      <c r="I28">
        <v>13.5027726432532</v>
      </c>
      <c r="J28">
        <v>74.693756694648499</v>
      </c>
      <c r="K28">
        <v>86.497227356746805</v>
      </c>
      <c r="L28">
        <v>84.149974544777393</v>
      </c>
      <c r="M28">
        <v>61.287745862193603</v>
      </c>
      <c r="N28">
        <v>86.497227356746805</v>
      </c>
      <c r="O28">
        <v>86.497227356746805</v>
      </c>
      <c r="P28">
        <v>64.173418836249994</v>
      </c>
      <c r="Q28">
        <v>86.497227356746805</v>
      </c>
      <c r="R28">
        <v>84.032486526067899</v>
      </c>
      <c r="S28">
        <v>13.567312729177599</v>
      </c>
      <c r="T28">
        <v>74.297821577687003</v>
      </c>
      <c r="U28">
        <v>86.432687270822399</v>
      </c>
      <c r="V28">
        <v>84.103847626635897</v>
      </c>
      <c r="W28">
        <v>61.793924466338296</v>
      </c>
      <c r="X28">
        <v>86.432687270822399</v>
      </c>
      <c r="Y28">
        <v>86.432687270822399</v>
      </c>
      <c r="Z28">
        <v>64.690486239508303</v>
      </c>
      <c r="AA28">
        <v>86.432687270822399</v>
      </c>
      <c r="AB28">
        <v>84.1249369610901</v>
      </c>
      <c r="AC28">
        <v>76894.650065381793</v>
      </c>
      <c r="AD28">
        <v>6.7566410000000001</v>
      </c>
      <c r="AE28">
        <v>5033052</v>
      </c>
      <c r="AF28">
        <v>19956</v>
      </c>
      <c r="AG28" t="s">
        <v>47</v>
      </c>
      <c r="AH28" t="s">
        <v>119</v>
      </c>
      <c r="AI28" t="s">
        <v>47</v>
      </c>
      <c r="AJ28" t="s">
        <v>48</v>
      </c>
      <c r="AK28" t="s">
        <v>49</v>
      </c>
      <c r="AL28" t="s">
        <v>50</v>
      </c>
    </row>
    <row r="29" spans="1:38" x14ac:dyDescent="0.2">
      <c r="A29">
        <v>0</v>
      </c>
      <c r="B29">
        <v>2.5</v>
      </c>
      <c r="C29" t="s">
        <v>74</v>
      </c>
      <c r="D29" t="s">
        <v>44</v>
      </c>
      <c r="E29">
        <v>85.110905730129403</v>
      </c>
      <c r="F29">
        <v>1611</v>
      </c>
      <c r="G29">
        <v>85.070717653221607</v>
      </c>
      <c r="H29">
        <v>285</v>
      </c>
      <c r="I29">
        <v>14.889094269870601</v>
      </c>
      <c r="J29" t="s">
        <v>52</v>
      </c>
      <c r="K29">
        <v>85.110905730129403</v>
      </c>
      <c r="L29" t="s">
        <v>52</v>
      </c>
      <c r="M29">
        <v>50</v>
      </c>
      <c r="N29">
        <v>85.110905730129403</v>
      </c>
      <c r="O29">
        <v>85.110905730129403</v>
      </c>
      <c r="P29">
        <v>45.978331419441801</v>
      </c>
      <c r="Q29">
        <v>85.110905730129403</v>
      </c>
      <c r="R29">
        <v>78.265148621375204</v>
      </c>
      <c r="S29">
        <v>14.9292823467784</v>
      </c>
      <c r="T29" t="s">
        <v>52</v>
      </c>
      <c r="U29">
        <v>85.070717653221607</v>
      </c>
      <c r="V29" t="s">
        <v>52</v>
      </c>
      <c r="W29">
        <v>50</v>
      </c>
      <c r="X29">
        <v>85.070717653221607</v>
      </c>
      <c r="Y29">
        <v>85.070717653221607</v>
      </c>
      <c r="Z29">
        <v>45.966600622700298</v>
      </c>
      <c r="AA29">
        <v>85.070717653221607</v>
      </c>
      <c r="AB29">
        <v>78.208234061042702</v>
      </c>
      <c r="AC29">
        <v>329245.65620911098</v>
      </c>
      <c r="AD29">
        <v>0.98664200000000002</v>
      </c>
      <c r="AE29">
        <v>14563</v>
      </c>
      <c r="AF29">
        <v>7987</v>
      </c>
      <c r="AG29" t="s">
        <v>75</v>
      </c>
      <c r="AH29" t="s">
        <v>119</v>
      </c>
      <c r="AI29" t="s">
        <v>47</v>
      </c>
      <c r="AJ29" t="s">
        <v>48</v>
      </c>
      <c r="AK29" t="s">
        <v>49</v>
      </c>
      <c r="AL29" t="s">
        <v>50</v>
      </c>
    </row>
    <row r="30" spans="1:38" x14ac:dyDescent="0.2">
      <c r="A30">
        <v>0</v>
      </c>
      <c r="B30">
        <v>2.6</v>
      </c>
      <c r="C30" t="s">
        <v>76</v>
      </c>
      <c r="D30" t="s">
        <v>44</v>
      </c>
      <c r="E30">
        <v>85.110905730129403</v>
      </c>
      <c r="F30">
        <v>1611</v>
      </c>
      <c r="G30">
        <v>85.070717653221607</v>
      </c>
      <c r="H30">
        <v>285</v>
      </c>
      <c r="I30">
        <v>14.889094269870601</v>
      </c>
      <c r="J30" t="s">
        <v>52</v>
      </c>
      <c r="K30">
        <v>85.110905730129403</v>
      </c>
      <c r="L30" t="s">
        <v>52</v>
      </c>
      <c r="M30">
        <v>50</v>
      </c>
      <c r="N30">
        <v>85.110905730129403</v>
      </c>
      <c r="O30">
        <v>85.110905730129403</v>
      </c>
      <c r="P30">
        <v>45.978331419441801</v>
      </c>
      <c r="Q30">
        <v>85.110905730129403</v>
      </c>
      <c r="R30">
        <v>78.265148621375204</v>
      </c>
      <c r="S30">
        <v>14.9292823467784</v>
      </c>
      <c r="T30" t="s">
        <v>52</v>
      </c>
      <c r="U30">
        <v>85.070717653221607</v>
      </c>
      <c r="V30" t="s">
        <v>52</v>
      </c>
      <c r="W30">
        <v>50</v>
      </c>
      <c r="X30">
        <v>85.070717653221607</v>
      </c>
      <c r="Y30">
        <v>85.070717653221607</v>
      </c>
      <c r="Z30">
        <v>45.966600622700298</v>
      </c>
      <c r="AA30">
        <v>85.070717653221607</v>
      </c>
      <c r="AB30">
        <v>78.208234061042702</v>
      </c>
      <c r="AC30">
        <v>149761.931126121</v>
      </c>
      <c r="AD30">
        <v>2.486434</v>
      </c>
      <c r="AE30">
        <v>14521</v>
      </c>
      <c r="AF30">
        <v>7987</v>
      </c>
      <c r="AG30" t="s">
        <v>77</v>
      </c>
      <c r="AH30" t="s">
        <v>119</v>
      </c>
      <c r="AI30" t="s">
        <v>47</v>
      </c>
      <c r="AJ30" t="s">
        <v>48</v>
      </c>
      <c r="AK30" t="s">
        <v>49</v>
      </c>
      <c r="AL30" t="s">
        <v>50</v>
      </c>
    </row>
    <row r="31" spans="1:38" x14ac:dyDescent="0.2">
      <c r="A31">
        <v>0</v>
      </c>
      <c r="B31">
        <v>2.7</v>
      </c>
      <c r="C31" t="s">
        <v>78</v>
      </c>
      <c r="D31" t="s">
        <v>44</v>
      </c>
      <c r="E31">
        <v>83.937153419593301</v>
      </c>
      <c r="F31">
        <v>1738</v>
      </c>
      <c r="G31">
        <v>84.075432163436403</v>
      </c>
      <c r="H31">
        <v>304</v>
      </c>
      <c r="I31">
        <v>16.062846580406699</v>
      </c>
      <c r="J31">
        <v>65.454483796471195</v>
      </c>
      <c r="K31">
        <v>83.937153419593301</v>
      </c>
      <c r="L31">
        <v>81.117134231055402</v>
      </c>
      <c r="M31">
        <v>59.5533179798269</v>
      </c>
      <c r="N31">
        <v>83.937153419593301</v>
      </c>
      <c r="O31">
        <v>83.9371534195934</v>
      </c>
      <c r="P31">
        <v>61.211179434959099</v>
      </c>
      <c r="Q31">
        <v>83.937153419593301</v>
      </c>
      <c r="R31">
        <v>82.060243711130397</v>
      </c>
      <c r="S31">
        <v>15.9245678365636</v>
      </c>
      <c r="T31">
        <v>66.672818998400402</v>
      </c>
      <c r="U31">
        <v>84.075432163436403</v>
      </c>
      <c r="V31">
        <v>81.893001250512199</v>
      </c>
      <c r="W31">
        <v>61.710310258404597</v>
      </c>
      <c r="X31">
        <v>84.075432163436403</v>
      </c>
      <c r="Y31">
        <v>84.075432163436304</v>
      </c>
      <c r="Z31">
        <v>63.387034906022201</v>
      </c>
      <c r="AA31">
        <v>84.075432163436403</v>
      </c>
      <c r="AB31">
        <v>82.691400012417702</v>
      </c>
      <c r="AC31">
        <v>100896.129206725</v>
      </c>
      <c r="AD31">
        <v>2.0183279999999999</v>
      </c>
      <c r="AE31">
        <v>17955</v>
      </c>
      <c r="AF31">
        <v>17513</v>
      </c>
      <c r="AG31" t="s">
        <v>79</v>
      </c>
      <c r="AH31" t="s">
        <v>119</v>
      </c>
      <c r="AI31" t="s">
        <v>47</v>
      </c>
      <c r="AJ31" t="s">
        <v>48</v>
      </c>
      <c r="AK31" t="s">
        <v>49</v>
      </c>
      <c r="AL31" t="s">
        <v>50</v>
      </c>
    </row>
    <row r="32" spans="1:38" x14ac:dyDescent="0.2">
      <c r="A32">
        <v>0</v>
      </c>
      <c r="B32">
        <v>2.8</v>
      </c>
      <c r="C32" t="s">
        <v>78</v>
      </c>
      <c r="D32" t="s">
        <v>44</v>
      </c>
      <c r="E32">
        <v>85.138632162661693</v>
      </c>
      <c r="F32">
        <v>1608</v>
      </c>
      <c r="G32">
        <v>85.175484546883197</v>
      </c>
      <c r="H32">
        <v>283</v>
      </c>
      <c r="I32">
        <v>14.8613678373383</v>
      </c>
      <c r="J32">
        <v>68.558829485680903</v>
      </c>
      <c r="K32">
        <v>85.138632162661693</v>
      </c>
      <c r="L32">
        <v>81.379238679625601</v>
      </c>
      <c r="M32">
        <v>56.418076424980001</v>
      </c>
      <c r="N32">
        <v>85.138632162661693</v>
      </c>
      <c r="O32">
        <v>85.138632162661693</v>
      </c>
      <c r="P32">
        <v>57.743260609456698</v>
      </c>
      <c r="Q32">
        <v>85.138632162661693</v>
      </c>
      <c r="R32">
        <v>81.635596819425899</v>
      </c>
      <c r="S32">
        <v>14.824515453116801</v>
      </c>
      <c r="T32">
        <v>69.012283967641096</v>
      </c>
      <c r="U32">
        <v>85.175484546883197</v>
      </c>
      <c r="V32">
        <v>81.617132875972601</v>
      </c>
      <c r="W32">
        <v>57.149446893094797</v>
      </c>
      <c r="X32">
        <v>85.175484546883197</v>
      </c>
      <c r="Y32">
        <v>85.175484546883197</v>
      </c>
      <c r="Z32">
        <v>58.743929921183501</v>
      </c>
      <c r="AA32">
        <v>85.175484546883197</v>
      </c>
      <c r="AB32">
        <v>81.906136494358805</v>
      </c>
      <c r="AC32">
        <v>540.58215702173004</v>
      </c>
      <c r="AD32">
        <v>103.371335</v>
      </c>
      <c r="AE32">
        <v>8060259</v>
      </c>
      <c r="AF32">
        <v>3999995</v>
      </c>
      <c r="AG32" t="s">
        <v>80</v>
      </c>
      <c r="AH32" t="s">
        <v>119</v>
      </c>
      <c r="AI32" t="s">
        <v>47</v>
      </c>
      <c r="AJ32" t="s">
        <v>48</v>
      </c>
      <c r="AK32" t="s">
        <v>49</v>
      </c>
      <c r="AL32" t="s">
        <v>50</v>
      </c>
    </row>
    <row r="33" spans="1:38" x14ac:dyDescent="0.2">
      <c r="A33">
        <v>0</v>
      </c>
      <c r="B33">
        <v>2.9</v>
      </c>
      <c r="C33" t="s">
        <v>51</v>
      </c>
      <c r="D33" t="s">
        <v>44</v>
      </c>
      <c r="E33">
        <v>85.110905730129403</v>
      </c>
      <c r="F33">
        <v>1611</v>
      </c>
      <c r="G33">
        <v>85.070717653221607</v>
      </c>
      <c r="H33">
        <v>285</v>
      </c>
      <c r="I33">
        <v>14.889094269870601</v>
      </c>
      <c r="J33" t="s">
        <v>52</v>
      </c>
      <c r="K33">
        <v>85.110905730129403</v>
      </c>
      <c r="L33" t="s">
        <v>52</v>
      </c>
      <c r="M33">
        <v>50</v>
      </c>
      <c r="N33">
        <v>85.110905730129403</v>
      </c>
      <c r="O33">
        <v>85.110905730129403</v>
      </c>
      <c r="P33">
        <v>45.978331419441801</v>
      </c>
      <c r="Q33">
        <v>85.110905730129403</v>
      </c>
      <c r="R33">
        <v>78.265148621375204</v>
      </c>
      <c r="S33">
        <v>14.9292823467784</v>
      </c>
      <c r="T33" t="s">
        <v>52</v>
      </c>
      <c r="U33">
        <v>85.070717653221607</v>
      </c>
      <c r="V33" t="s">
        <v>52</v>
      </c>
      <c r="W33">
        <v>50</v>
      </c>
      <c r="X33">
        <v>85.070717653221607</v>
      </c>
      <c r="Y33">
        <v>85.070717653221607</v>
      </c>
      <c r="Z33">
        <v>45.966600622700298</v>
      </c>
      <c r="AA33">
        <v>85.070717653221607</v>
      </c>
      <c r="AB33">
        <v>78.208234061042702</v>
      </c>
      <c r="AC33">
        <v>14054.8868010064</v>
      </c>
      <c r="AD33">
        <v>7.4050260000000003</v>
      </c>
      <c r="AE33">
        <v>843070</v>
      </c>
      <c r="AF33">
        <v>842541</v>
      </c>
      <c r="AG33" t="s">
        <v>81</v>
      </c>
      <c r="AH33" t="s">
        <v>119</v>
      </c>
      <c r="AI33" t="s">
        <v>47</v>
      </c>
      <c r="AJ33" t="s">
        <v>48</v>
      </c>
      <c r="AK33" t="s">
        <v>49</v>
      </c>
      <c r="AL33" t="s">
        <v>50</v>
      </c>
    </row>
  </sheetData>
  <sortState xmlns:xlrd2="http://schemas.microsoft.com/office/spreadsheetml/2017/richdata2" ref="A10:AL33">
    <sortCondition ref="B10:B33"/>
  </sortState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7E11-269B-485F-94CB-8B1016D86DC4}">
  <dimension ref="A1:AL33"/>
  <sheetViews>
    <sheetView workbookViewId="0">
      <selection activeCell="K6" sqref="K6"/>
    </sheetView>
  </sheetViews>
  <sheetFormatPr baseColWidth="10" defaultColWidth="8.83203125" defaultRowHeight="16" x14ac:dyDescent="0.2"/>
  <sheetData>
    <row r="1" spans="1:38" x14ac:dyDescent="0.2">
      <c r="A1" t="s">
        <v>0</v>
      </c>
    </row>
    <row r="2" spans="1:38" x14ac:dyDescent="0.2">
      <c r="A2" t="s">
        <v>123</v>
      </c>
    </row>
    <row r="3" spans="1:38" x14ac:dyDescent="0.2">
      <c r="A3" t="s">
        <v>116</v>
      </c>
    </row>
    <row r="4" spans="1:38" x14ac:dyDescent="0.2">
      <c r="A4" t="s">
        <v>117</v>
      </c>
    </row>
    <row r="5" spans="1:38" x14ac:dyDescent="0.2">
      <c r="A5" t="s">
        <v>4</v>
      </c>
    </row>
    <row r="6" spans="1:38" x14ac:dyDescent="0.2">
      <c r="A6" t="s">
        <v>124</v>
      </c>
    </row>
    <row r="9" spans="1:38" x14ac:dyDescent="0.2">
      <c r="A9" t="s">
        <v>6</v>
      </c>
      <c r="B9" t="s">
        <v>7</v>
      </c>
      <c r="C9" t="s">
        <v>9</v>
      </c>
      <c r="D9" t="s">
        <v>8</v>
      </c>
      <c r="E9" t="s">
        <v>10</v>
      </c>
      <c r="F9" t="s">
        <v>11</v>
      </c>
      <c r="G9" t="s">
        <v>22</v>
      </c>
      <c r="H9" t="s">
        <v>23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  <c r="Q9" t="s">
        <v>20</v>
      </c>
      <c r="R9" t="s">
        <v>21</v>
      </c>
      <c r="S9" t="s">
        <v>24</v>
      </c>
      <c r="T9" t="s">
        <v>25</v>
      </c>
      <c r="U9" t="s">
        <v>26</v>
      </c>
      <c r="V9" t="s">
        <v>27</v>
      </c>
      <c r="W9" t="s">
        <v>28</v>
      </c>
      <c r="X9" t="s">
        <v>29</v>
      </c>
      <c r="Y9" t="s">
        <v>30</v>
      </c>
      <c r="Z9" t="s">
        <v>31</v>
      </c>
      <c r="AA9" t="s">
        <v>32</v>
      </c>
      <c r="AB9" t="s">
        <v>33</v>
      </c>
      <c r="AC9" t="s">
        <v>34</v>
      </c>
      <c r="AD9" t="s">
        <v>35</v>
      </c>
      <c r="AE9" t="s">
        <v>36</v>
      </c>
      <c r="AF9" t="s">
        <v>37</v>
      </c>
      <c r="AG9" t="s">
        <v>38</v>
      </c>
      <c r="AH9" t="s">
        <v>39</v>
      </c>
      <c r="AI9" t="s">
        <v>40</v>
      </c>
      <c r="AJ9" t="s">
        <v>41</v>
      </c>
      <c r="AK9" t="s">
        <v>42</v>
      </c>
      <c r="AL9" t="s">
        <v>43</v>
      </c>
    </row>
    <row r="10" spans="1:38" x14ac:dyDescent="0.2">
      <c r="A10">
        <v>0</v>
      </c>
      <c r="B10">
        <v>2.1</v>
      </c>
      <c r="C10" t="s">
        <v>45</v>
      </c>
      <c r="D10" t="s">
        <v>44</v>
      </c>
      <c r="E10">
        <v>84.734223618748402</v>
      </c>
      <c r="F10">
        <v>1749</v>
      </c>
      <c r="G10">
        <v>86.084905660377402</v>
      </c>
      <c r="H10">
        <v>177</v>
      </c>
      <c r="I10">
        <v>15.2657763812516</v>
      </c>
      <c r="J10">
        <v>67.937991712629795</v>
      </c>
      <c r="K10">
        <v>84.734223618748402</v>
      </c>
      <c r="L10">
        <v>82.079318334728796</v>
      </c>
      <c r="M10">
        <v>60.778757153801102</v>
      </c>
      <c r="N10">
        <v>84.734223618748402</v>
      </c>
      <c r="O10">
        <v>84.734223618748402</v>
      </c>
      <c r="P10">
        <v>62.794243645494397</v>
      </c>
      <c r="Q10">
        <v>84.734223618748402</v>
      </c>
      <c r="R10">
        <v>82.851445160029698</v>
      </c>
      <c r="S10">
        <v>13.9150943396226</v>
      </c>
      <c r="T10">
        <v>72.5391584766585</v>
      </c>
      <c r="U10">
        <v>86.084905660377402</v>
      </c>
      <c r="V10">
        <v>83.588335467757602</v>
      </c>
      <c r="W10">
        <v>61.473127262600897</v>
      </c>
      <c r="X10">
        <v>86.084905660377402</v>
      </c>
      <c r="Y10">
        <v>86.084905660377402</v>
      </c>
      <c r="Z10">
        <v>64.146703845314704</v>
      </c>
      <c r="AA10">
        <v>86.084905660377402</v>
      </c>
      <c r="AB10">
        <v>83.858012812818203</v>
      </c>
      <c r="AC10">
        <v>463358.408153361</v>
      </c>
      <c r="AD10">
        <v>4.3531269999999997</v>
      </c>
      <c r="AE10">
        <v>33098</v>
      </c>
      <c r="AF10">
        <v>17361</v>
      </c>
      <c r="AG10" t="s">
        <v>46</v>
      </c>
      <c r="AH10" t="s">
        <v>119</v>
      </c>
      <c r="AI10" t="s">
        <v>47</v>
      </c>
      <c r="AJ10" t="s">
        <v>48</v>
      </c>
      <c r="AK10" t="s">
        <v>49</v>
      </c>
      <c r="AL10" t="s">
        <v>50</v>
      </c>
    </row>
    <row r="11" spans="1:38" x14ac:dyDescent="0.2">
      <c r="A11">
        <v>0</v>
      </c>
      <c r="B11">
        <v>2.1</v>
      </c>
      <c r="C11" t="s">
        <v>51</v>
      </c>
      <c r="D11" t="s">
        <v>44</v>
      </c>
      <c r="E11">
        <v>85.886357685257906</v>
      </c>
      <c r="F11">
        <v>1617</v>
      </c>
      <c r="G11">
        <v>86.242138364779905</v>
      </c>
      <c r="H11">
        <v>175</v>
      </c>
      <c r="I11">
        <v>14.1136423147421</v>
      </c>
      <c r="J11">
        <v>75.677583479032705</v>
      </c>
      <c r="K11">
        <v>85.886357685257906</v>
      </c>
      <c r="L11">
        <v>83.243157139833301</v>
      </c>
      <c r="M11">
        <v>55.197476454418499</v>
      </c>
      <c r="N11">
        <v>85.886357685257906</v>
      </c>
      <c r="O11">
        <v>85.886357685257906</v>
      </c>
      <c r="P11">
        <v>55.888601746577102</v>
      </c>
      <c r="Q11">
        <v>85.886357685257906</v>
      </c>
      <c r="R11">
        <v>81.4254297540718</v>
      </c>
      <c r="S11">
        <v>13.757861635220101</v>
      </c>
      <c r="T11">
        <v>82.772435897435898</v>
      </c>
      <c r="U11">
        <v>86.242138364779905</v>
      </c>
      <c r="V11">
        <v>85.306679366231293</v>
      </c>
      <c r="W11">
        <v>54.795614767913897</v>
      </c>
      <c r="X11">
        <v>86.242138364779905</v>
      </c>
      <c r="Y11">
        <v>86.242138364779905</v>
      </c>
      <c r="Z11">
        <v>55.166434039673497</v>
      </c>
      <c r="AA11">
        <v>86.242138364779905</v>
      </c>
      <c r="AB11">
        <v>81.400314744720802</v>
      </c>
      <c r="AC11">
        <v>10928.5499663759</v>
      </c>
      <c r="AD11">
        <v>75.887696000000005</v>
      </c>
      <c r="AE11">
        <v>883518</v>
      </c>
      <c r="AF11">
        <v>883213</v>
      </c>
      <c r="AG11" t="s">
        <v>53</v>
      </c>
      <c r="AH11" t="s">
        <v>119</v>
      </c>
      <c r="AI11" t="s">
        <v>47</v>
      </c>
      <c r="AJ11" t="s">
        <v>48</v>
      </c>
      <c r="AK11" t="s">
        <v>49</v>
      </c>
      <c r="AL11" t="s">
        <v>50</v>
      </c>
    </row>
    <row r="12" spans="1:38" x14ac:dyDescent="0.2">
      <c r="A12">
        <v>0</v>
      </c>
      <c r="B12">
        <v>2.11</v>
      </c>
      <c r="C12" t="s">
        <v>51</v>
      </c>
      <c r="D12" t="s">
        <v>44</v>
      </c>
      <c r="E12">
        <v>84.0446888365192</v>
      </c>
      <c r="F12">
        <v>1828</v>
      </c>
      <c r="G12">
        <v>84.827044025157207</v>
      </c>
      <c r="H12">
        <v>193</v>
      </c>
      <c r="I12">
        <v>15.9553111634808</v>
      </c>
      <c r="J12">
        <v>66.367984305625697</v>
      </c>
      <c r="K12">
        <v>84.0446888365192</v>
      </c>
      <c r="L12">
        <v>81.723177581570795</v>
      </c>
      <c r="M12">
        <v>61.195169212743899</v>
      </c>
      <c r="N12">
        <v>84.0446888365192</v>
      </c>
      <c r="O12">
        <v>84.0446888365191</v>
      </c>
      <c r="P12">
        <v>62.881487721117097</v>
      </c>
      <c r="Q12">
        <v>84.0446888365192</v>
      </c>
      <c r="R12">
        <v>82.557320176460806</v>
      </c>
      <c r="S12">
        <v>15.1729559748428</v>
      </c>
      <c r="T12">
        <v>68.336969366421201</v>
      </c>
      <c r="U12">
        <v>84.827044025157207</v>
      </c>
      <c r="V12">
        <v>82.457780424764096</v>
      </c>
      <c r="W12">
        <v>61.826349499479697</v>
      </c>
      <c r="X12">
        <v>84.827044025157207</v>
      </c>
      <c r="Y12">
        <v>84.827044025157207</v>
      </c>
      <c r="Z12">
        <v>63.845701839260201</v>
      </c>
      <c r="AA12">
        <v>84.827044025157207</v>
      </c>
      <c r="AB12">
        <v>83.2031011315119</v>
      </c>
      <c r="AC12">
        <v>12989.722280485899</v>
      </c>
      <c r="AD12">
        <v>81.886630999999994</v>
      </c>
      <c r="AE12">
        <v>963870</v>
      </c>
      <c r="AF12">
        <v>963565</v>
      </c>
      <c r="AG12" t="s">
        <v>54</v>
      </c>
      <c r="AH12" t="s">
        <v>119</v>
      </c>
      <c r="AI12" t="s">
        <v>47</v>
      </c>
      <c r="AJ12" t="s">
        <v>48</v>
      </c>
      <c r="AK12" t="s">
        <v>49</v>
      </c>
      <c r="AL12" t="s">
        <v>50</v>
      </c>
    </row>
    <row r="13" spans="1:38" x14ac:dyDescent="0.2">
      <c r="A13">
        <v>0</v>
      </c>
      <c r="B13">
        <v>2.12</v>
      </c>
      <c r="C13" t="s">
        <v>51</v>
      </c>
      <c r="D13" t="s">
        <v>44</v>
      </c>
      <c r="E13">
        <v>85.100811730819601</v>
      </c>
      <c r="F13">
        <v>1707</v>
      </c>
      <c r="G13">
        <v>85.141509433962298</v>
      </c>
      <c r="H13">
        <v>189</v>
      </c>
      <c r="I13">
        <v>14.899188269180399</v>
      </c>
      <c r="J13" t="s">
        <v>52</v>
      </c>
      <c r="K13">
        <v>85.100811730819601</v>
      </c>
      <c r="L13" t="s">
        <v>52</v>
      </c>
      <c r="M13">
        <v>50</v>
      </c>
      <c r="N13">
        <v>85.100811730819601</v>
      </c>
      <c r="O13">
        <v>85.100811730819601</v>
      </c>
      <c r="P13">
        <v>45.975385485924498</v>
      </c>
      <c r="Q13">
        <v>85.100811730819601</v>
      </c>
      <c r="R13">
        <v>78.250852489790205</v>
      </c>
      <c r="S13">
        <v>14.8584905660377</v>
      </c>
      <c r="T13" t="s">
        <v>52</v>
      </c>
      <c r="U13">
        <v>85.141509433962298</v>
      </c>
      <c r="V13" t="s">
        <v>52</v>
      </c>
      <c r="W13">
        <v>50</v>
      </c>
      <c r="X13">
        <v>85.141509433962298</v>
      </c>
      <c r="Y13">
        <v>85.141509433962298</v>
      </c>
      <c r="Z13">
        <v>45.987261146496799</v>
      </c>
      <c r="AA13">
        <v>85.141509433962298</v>
      </c>
      <c r="AB13">
        <v>78.308496574930899</v>
      </c>
      <c r="AC13">
        <v>4511.4362960938697</v>
      </c>
      <c r="AD13">
        <v>58.249769999999998</v>
      </c>
      <c r="AE13">
        <v>2849906</v>
      </c>
      <c r="AF13">
        <v>2849605</v>
      </c>
      <c r="AG13" t="s">
        <v>120</v>
      </c>
      <c r="AH13" t="s">
        <v>119</v>
      </c>
      <c r="AI13" t="s">
        <v>47</v>
      </c>
      <c r="AJ13" t="s">
        <v>48</v>
      </c>
      <c r="AK13" t="s">
        <v>49</v>
      </c>
      <c r="AL13" t="s">
        <v>50</v>
      </c>
    </row>
    <row r="14" spans="1:38" x14ac:dyDescent="0.2">
      <c r="A14">
        <v>0</v>
      </c>
      <c r="B14">
        <v>2.13</v>
      </c>
      <c r="C14" t="s">
        <v>51</v>
      </c>
      <c r="D14" t="s">
        <v>44</v>
      </c>
      <c r="E14">
        <v>85.755433359518193</v>
      </c>
      <c r="F14">
        <v>1632</v>
      </c>
      <c r="G14">
        <v>86.006289308176093</v>
      </c>
      <c r="H14">
        <v>178</v>
      </c>
      <c r="I14">
        <v>14.2445666404818</v>
      </c>
      <c r="J14">
        <v>77.014499547394294</v>
      </c>
      <c r="K14">
        <v>85.755433359518193</v>
      </c>
      <c r="L14">
        <v>83.383131728834002</v>
      </c>
      <c r="M14">
        <v>53.8157541345591</v>
      </c>
      <c r="N14">
        <v>85.755433359518193</v>
      </c>
      <c r="O14">
        <v>85.755433359518193</v>
      </c>
      <c r="P14">
        <v>53.525189097440602</v>
      </c>
      <c r="Q14">
        <v>85.755433359518193</v>
      </c>
      <c r="R14">
        <v>80.695072191444396</v>
      </c>
      <c r="S14">
        <v>13.9937106918239</v>
      </c>
      <c r="T14">
        <v>81.180769669978304</v>
      </c>
      <c r="U14">
        <v>86.006289308176093</v>
      </c>
      <c r="V14">
        <v>84.688098577741599</v>
      </c>
      <c r="W14">
        <v>54.001963974263099</v>
      </c>
      <c r="X14">
        <v>86.006289308176093</v>
      </c>
      <c r="Y14">
        <v>86.006289308176093</v>
      </c>
      <c r="Z14">
        <v>53.805851389399002</v>
      </c>
      <c r="AA14">
        <v>86.006289308176093</v>
      </c>
      <c r="AB14">
        <v>80.912434722154799</v>
      </c>
      <c r="AC14">
        <v>6649.76124820726</v>
      </c>
      <c r="AD14">
        <v>32.593406999999999</v>
      </c>
      <c r="AE14">
        <v>1114154</v>
      </c>
      <c r="AF14">
        <v>1113853</v>
      </c>
      <c r="AG14" t="s">
        <v>121</v>
      </c>
      <c r="AH14" t="s">
        <v>119</v>
      </c>
      <c r="AI14" t="s">
        <v>47</v>
      </c>
      <c r="AJ14" t="s">
        <v>48</v>
      </c>
      <c r="AK14" t="s">
        <v>49</v>
      </c>
      <c r="AL14" t="s">
        <v>50</v>
      </c>
    </row>
    <row r="15" spans="1:38" x14ac:dyDescent="0.2">
      <c r="A15">
        <v>0</v>
      </c>
      <c r="B15">
        <v>2.14</v>
      </c>
      <c r="C15" t="s">
        <v>51</v>
      </c>
      <c r="D15" t="s">
        <v>44</v>
      </c>
      <c r="E15">
        <v>85.100811730819601</v>
      </c>
      <c r="F15">
        <v>1707</v>
      </c>
      <c r="G15">
        <v>85.141509433962298</v>
      </c>
      <c r="H15">
        <v>189</v>
      </c>
      <c r="I15">
        <v>14.899188269180399</v>
      </c>
      <c r="J15" t="s">
        <v>52</v>
      </c>
      <c r="K15">
        <v>85.100811730819601</v>
      </c>
      <c r="L15" t="s">
        <v>52</v>
      </c>
      <c r="M15">
        <v>50</v>
      </c>
      <c r="N15">
        <v>85.100811730819601</v>
      </c>
      <c r="O15">
        <v>85.100811730819601</v>
      </c>
      <c r="P15">
        <v>45.975385485924498</v>
      </c>
      <c r="Q15">
        <v>85.100811730819601</v>
      </c>
      <c r="R15">
        <v>78.250852489790205</v>
      </c>
      <c r="S15">
        <v>14.8584905660377</v>
      </c>
      <c r="T15" t="s">
        <v>52</v>
      </c>
      <c r="U15">
        <v>85.141509433962298</v>
      </c>
      <c r="V15" t="s">
        <v>52</v>
      </c>
      <c r="W15">
        <v>50</v>
      </c>
      <c r="X15">
        <v>85.141509433962298</v>
      </c>
      <c r="Y15">
        <v>85.141509433962298</v>
      </c>
      <c r="Z15">
        <v>45.987261146496799</v>
      </c>
      <c r="AA15">
        <v>85.141509433962298</v>
      </c>
      <c r="AB15">
        <v>78.308496574930899</v>
      </c>
      <c r="AC15">
        <v>10324.728341681201</v>
      </c>
      <c r="AD15">
        <v>29.591629000000001</v>
      </c>
      <c r="AE15">
        <v>914018</v>
      </c>
      <c r="AF15">
        <v>913717</v>
      </c>
      <c r="AG15" t="s">
        <v>122</v>
      </c>
      <c r="AH15" t="s">
        <v>119</v>
      </c>
      <c r="AI15" t="s">
        <v>47</v>
      </c>
      <c r="AJ15" t="s">
        <v>48</v>
      </c>
      <c r="AK15" t="s">
        <v>49</v>
      </c>
      <c r="AL15" t="s">
        <v>50</v>
      </c>
    </row>
    <row r="16" spans="1:38" x14ac:dyDescent="0.2">
      <c r="A16">
        <v>0</v>
      </c>
      <c r="B16">
        <v>2.15</v>
      </c>
      <c r="C16" t="s">
        <v>58</v>
      </c>
      <c r="D16" t="s">
        <v>44</v>
      </c>
      <c r="E16">
        <v>86.5235227371912</v>
      </c>
      <c r="F16">
        <v>1544</v>
      </c>
      <c r="G16">
        <v>87.1069182389937</v>
      </c>
      <c r="H16">
        <v>164</v>
      </c>
      <c r="I16">
        <v>13.4764772628088</v>
      </c>
      <c r="J16">
        <v>75.639886618759405</v>
      </c>
      <c r="K16">
        <v>86.5235227371912</v>
      </c>
      <c r="L16">
        <v>84.182590366251105</v>
      </c>
      <c r="M16">
        <v>60.114469830111297</v>
      </c>
      <c r="N16">
        <v>86.5235227371912</v>
      </c>
      <c r="O16">
        <v>86.5235227371912</v>
      </c>
      <c r="P16">
        <v>62.861787530958303</v>
      </c>
      <c r="Q16">
        <v>86.5235227371912</v>
      </c>
      <c r="R16">
        <v>83.672212491453806</v>
      </c>
      <c r="S16">
        <v>12.8930817610063</v>
      </c>
      <c r="T16">
        <v>78.923943440072506</v>
      </c>
      <c r="U16">
        <v>87.1069182389937</v>
      </c>
      <c r="V16">
        <v>85.307520639230901</v>
      </c>
      <c r="W16">
        <v>60.763018657755502</v>
      </c>
      <c r="X16">
        <v>87.1069182389937</v>
      </c>
      <c r="Y16">
        <v>87.1069182389937</v>
      </c>
      <c r="Z16">
        <v>63.8826560292529</v>
      </c>
      <c r="AA16">
        <v>87.1069182389937</v>
      </c>
      <c r="AB16">
        <v>84.238038789555105</v>
      </c>
      <c r="AC16">
        <v>29484.655471916602</v>
      </c>
      <c r="AD16">
        <v>20.562391000000002</v>
      </c>
      <c r="AE16">
        <v>392225</v>
      </c>
      <c r="AF16">
        <v>191646</v>
      </c>
      <c r="AG16" t="s">
        <v>59</v>
      </c>
      <c r="AH16" t="s">
        <v>119</v>
      </c>
      <c r="AI16" t="s">
        <v>47</v>
      </c>
      <c r="AJ16" t="s">
        <v>48</v>
      </c>
      <c r="AK16" t="s">
        <v>49</v>
      </c>
      <c r="AL16" t="s">
        <v>50</v>
      </c>
    </row>
    <row r="17" spans="1:38" x14ac:dyDescent="0.2">
      <c r="A17">
        <v>0</v>
      </c>
      <c r="B17">
        <v>2.16</v>
      </c>
      <c r="C17" t="s">
        <v>58</v>
      </c>
      <c r="D17" t="s">
        <v>44</v>
      </c>
      <c r="E17">
        <v>86.1656629135027</v>
      </c>
      <c r="F17">
        <v>1585</v>
      </c>
      <c r="G17">
        <v>85.613207547169793</v>
      </c>
      <c r="H17">
        <v>183</v>
      </c>
      <c r="I17">
        <v>13.8343370864973</v>
      </c>
      <c r="J17">
        <v>73.613764602419593</v>
      </c>
      <c r="K17">
        <v>86.1656629135027</v>
      </c>
      <c r="L17">
        <v>83.541478056647193</v>
      </c>
      <c r="M17">
        <v>59.880050470911598</v>
      </c>
      <c r="N17">
        <v>86.1656629135027</v>
      </c>
      <c r="O17">
        <v>86.1656629135027</v>
      </c>
      <c r="P17">
        <v>62.436930396575903</v>
      </c>
      <c r="Q17">
        <v>86.1656629135027</v>
      </c>
      <c r="R17">
        <v>83.395660424430304</v>
      </c>
      <c r="S17">
        <v>14.3867924528302</v>
      </c>
      <c r="T17">
        <v>70.808329197310798</v>
      </c>
      <c r="U17">
        <v>85.613207547169793</v>
      </c>
      <c r="V17">
        <v>82.583739557429993</v>
      </c>
      <c r="W17">
        <v>59.012296823931202</v>
      </c>
      <c r="X17">
        <v>85.613207547169793</v>
      </c>
      <c r="Y17">
        <v>85.613207547169793</v>
      </c>
      <c r="Z17">
        <v>61.197726965859502</v>
      </c>
      <c r="AA17">
        <v>85.613207547169793</v>
      </c>
      <c r="AB17">
        <v>82.830471901133393</v>
      </c>
      <c r="AC17">
        <v>17637.604721834799</v>
      </c>
      <c r="AD17">
        <v>52.076245999999998</v>
      </c>
      <c r="AE17">
        <v>5815097</v>
      </c>
      <c r="AF17">
        <v>4288606</v>
      </c>
      <c r="AG17" t="s">
        <v>125</v>
      </c>
      <c r="AH17" t="s">
        <v>119</v>
      </c>
      <c r="AI17" t="s">
        <v>47</v>
      </c>
      <c r="AJ17" t="s">
        <v>48</v>
      </c>
      <c r="AK17" t="s">
        <v>49</v>
      </c>
      <c r="AL17" t="s">
        <v>50</v>
      </c>
    </row>
    <row r="18" spans="1:38" x14ac:dyDescent="0.2">
      <c r="A18">
        <v>0</v>
      </c>
      <c r="B18">
        <v>2.17</v>
      </c>
      <c r="C18" t="s">
        <v>58</v>
      </c>
      <c r="D18" t="s">
        <v>44</v>
      </c>
      <c r="E18">
        <v>72.540804748188904</v>
      </c>
      <c r="F18">
        <v>3146</v>
      </c>
      <c r="G18">
        <v>73.113207547169793</v>
      </c>
      <c r="H18">
        <v>342</v>
      </c>
      <c r="I18">
        <v>27.459195251811099</v>
      </c>
      <c r="J18">
        <v>63.848363101775099</v>
      </c>
      <c r="K18">
        <v>72.540804748188904</v>
      </c>
      <c r="L18">
        <v>85.7853910785891</v>
      </c>
      <c r="M18">
        <v>75.192167996034399</v>
      </c>
      <c r="N18">
        <v>72.540804748188904</v>
      </c>
      <c r="O18">
        <v>72.540804748188904</v>
      </c>
      <c r="P18">
        <v>63.860372101066901</v>
      </c>
      <c r="Q18">
        <v>72.540804748188904</v>
      </c>
      <c r="R18">
        <v>76.294338224094901</v>
      </c>
      <c r="S18">
        <v>26.8867924528302</v>
      </c>
      <c r="T18">
        <v>63.897498474679701</v>
      </c>
      <c r="U18">
        <v>73.113207547169793</v>
      </c>
      <c r="V18">
        <v>85.693381836600807</v>
      </c>
      <c r="W18">
        <v>75.038473376423497</v>
      </c>
      <c r="X18">
        <v>73.113207547169793</v>
      </c>
      <c r="Y18">
        <v>73.113207547169793</v>
      </c>
      <c r="Z18">
        <v>64.150943396226396</v>
      </c>
      <c r="AA18">
        <v>73.113207547169793</v>
      </c>
      <c r="AB18">
        <v>76.748843004628</v>
      </c>
      <c r="AC18">
        <v>35410.2920723227</v>
      </c>
      <c r="AD18">
        <v>16.605498000000001</v>
      </c>
      <c r="AE18">
        <v>370037</v>
      </c>
      <c r="AF18">
        <v>172306</v>
      </c>
      <c r="AG18" t="s">
        <v>61</v>
      </c>
      <c r="AH18" t="s">
        <v>119</v>
      </c>
      <c r="AI18" t="s">
        <v>47</v>
      </c>
      <c r="AJ18" t="s">
        <v>48</v>
      </c>
      <c r="AK18" t="s">
        <v>49</v>
      </c>
      <c r="AL18" t="s">
        <v>50</v>
      </c>
    </row>
    <row r="19" spans="1:38" x14ac:dyDescent="0.2">
      <c r="A19">
        <v>0</v>
      </c>
      <c r="B19">
        <v>2.1800000000000002</v>
      </c>
      <c r="C19" t="s">
        <v>62</v>
      </c>
      <c r="D19" t="s">
        <v>44</v>
      </c>
      <c r="E19">
        <v>85.118268307584898</v>
      </c>
      <c r="F19">
        <v>1705</v>
      </c>
      <c r="G19">
        <v>85.770440251572296</v>
      </c>
      <c r="H19">
        <v>181</v>
      </c>
      <c r="I19">
        <v>14.8817316924151</v>
      </c>
      <c r="J19">
        <v>69.155883299327598</v>
      </c>
      <c r="K19">
        <v>85.118268307584898</v>
      </c>
      <c r="L19">
        <v>82.527976062728598</v>
      </c>
      <c r="M19">
        <v>61.246027668874802</v>
      </c>
      <c r="N19">
        <v>85.118268307584898</v>
      </c>
      <c r="O19">
        <v>85.118268307584898</v>
      </c>
      <c r="P19">
        <v>63.443202617602097</v>
      </c>
      <c r="Q19">
        <v>85.118268307584898</v>
      </c>
      <c r="R19">
        <v>83.204317256519701</v>
      </c>
      <c r="S19">
        <v>14.2295597484277</v>
      </c>
      <c r="T19">
        <v>71.417785234899299</v>
      </c>
      <c r="U19">
        <v>85.770440251572296</v>
      </c>
      <c r="V19">
        <v>82.956700329238998</v>
      </c>
      <c r="W19">
        <v>59.978161778715801</v>
      </c>
      <c r="X19">
        <v>85.770440251572296</v>
      </c>
      <c r="Y19">
        <v>85.770440251572296</v>
      </c>
      <c r="Z19">
        <v>62.378855345398101</v>
      </c>
      <c r="AA19">
        <v>85.770440251572296</v>
      </c>
      <c r="AB19">
        <v>83.228383666554393</v>
      </c>
      <c r="AC19">
        <v>213877.68817204301</v>
      </c>
      <c r="AD19">
        <v>39.321157999999997</v>
      </c>
      <c r="AE19">
        <v>12295</v>
      </c>
      <c r="AF19">
        <v>11529</v>
      </c>
      <c r="AG19" t="s">
        <v>63</v>
      </c>
      <c r="AH19" t="s">
        <v>119</v>
      </c>
      <c r="AI19" t="s">
        <v>47</v>
      </c>
      <c r="AJ19" t="s">
        <v>48</v>
      </c>
      <c r="AK19" t="s">
        <v>49</v>
      </c>
      <c r="AL19" t="s">
        <v>50</v>
      </c>
    </row>
    <row r="20" spans="1:38" x14ac:dyDescent="0.2">
      <c r="A20">
        <v>0</v>
      </c>
      <c r="B20">
        <v>2.19</v>
      </c>
      <c r="C20" t="s">
        <v>62</v>
      </c>
      <c r="D20" t="s">
        <v>44</v>
      </c>
      <c r="E20">
        <v>83.206773151784901</v>
      </c>
      <c r="F20">
        <v>1924</v>
      </c>
      <c r="G20">
        <v>84.905660377358501</v>
      </c>
      <c r="H20">
        <v>192</v>
      </c>
      <c r="I20">
        <v>16.793226848215099</v>
      </c>
      <c r="J20">
        <v>65.0843917830382</v>
      </c>
      <c r="K20">
        <v>83.206773151784901</v>
      </c>
      <c r="L20">
        <v>81.537525697569194</v>
      </c>
      <c r="M20">
        <v>61.959334865485999</v>
      </c>
      <c r="N20">
        <v>83.206773151784901</v>
      </c>
      <c r="O20">
        <v>83.206773151784901</v>
      </c>
      <c r="P20">
        <v>63.165110406071499</v>
      </c>
      <c r="Q20">
        <v>83.206773151784901</v>
      </c>
      <c r="R20">
        <v>82.239195539638303</v>
      </c>
      <c r="S20">
        <v>15.094339622641501</v>
      </c>
      <c r="T20">
        <v>68.464979056063498</v>
      </c>
      <c r="U20">
        <v>84.905660377358501</v>
      </c>
      <c r="V20">
        <v>82.4099212773517</v>
      </c>
      <c r="W20">
        <v>61.435753125503801</v>
      </c>
      <c r="X20">
        <v>84.905660377358501</v>
      </c>
      <c r="Y20">
        <v>84.905660377358501</v>
      </c>
      <c r="Z20">
        <v>63.510969538687696</v>
      </c>
      <c r="AA20">
        <v>84.905660377358501</v>
      </c>
      <c r="AB20">
        <v>83.148396242765401</v>
      </c>
      <c r="AC20">
        <v>87066.548115723897</v>
      </c>
      <c r="AD20">
        <v>55.913094000000001</v>
      </c>
      <c r="AE20">
        <v>16135</v>
      </c>
      <c r="AF20">
        <v>15369</v>
      </c>
      <c r="AG20" t="s">
        <v>64</v>
      </c>
      <c r="AH20" t="s">
        <v>119</v>
      </c>
      <c r="AI20" t="s">
        <v>47</v>
      </c>
      <c r="AJ20" t="s">
        <v>48</v>
      </c>
      <c r="AK20" t="s">
        <v>49</v>
      </c>
      <c r="AL20" t="s">
        <v>50</v>
      </c>
    </row>
    <row r="21" spans="1:38" x14ac:dyDescent="0.2">
      <c r="A21">
        <v>0</v>
      </c>
      <c r="B21">
        <v>2.2000000000000002</v>
      </c>
      <c r="C21" t="s">
        <v>45</v>
      </c>
      <c r="D21" t="s">
        <v>44</v>
      </c>
      <c r="E21">
        <v>85.519769573186693</v>
      </c>
      <c r="F21">
        <v>1659</v>
      </c>
      <c r="G21">
        <v>86.242138364779905</v>
      </c>
      <c r="H21">
        <v>175</v>
      </c>
      <c r="I21">
        <v>14.4802304268133</v>
      </c>
      <c r="J21">
        <v>70.651084060452803</v>
      </c>
      <c r="K21">
        <v>85.519769573186693</v>
      </c>
      <c r="L21">
        <v>82.283107947129096</v>
      </c>
      <c r="M21">
        <v>57.929971610112197</v>
      </c>
      <c r="N21">
        <v>85.519769573186693</v>
      </c>
      <c r="O21">
        <v>85.519769573186693</v>
      </c>
      <c r="P21">
        <v>59.833220644579697</v>
      </c>
      <c r="Q21">
        <v>85.519769573186693</v>
      </c>
      <c r="R21">
        <v>82.382545358919998</v>
      </c>
      <c r="S21">
        <v>13.757861635220101</v>
      </c>
      <c r="T21">
        <v>79.243951612903203</v>
      </c>
      <c r="U21">
        <v>86.242138364779905</v>
      </c>
      <c r="V21">
        <v>84.423073265368203</v>
      </c>
      <c r="W21">
        <v>55.669143619282103</v>
      </c>
      <c r="X21">
        <v>86.242138364779905</v>
      </c>
      <c r="Y21">
        <v>86.242138364779905</v>
      </c>
      <c r="Z21">
        <v>56.6405588030768</v>
      </c>
      <c r="AA21">
        <v>86.242138364779905</v>
      </c>
      <c r="AB21">
        <v>81.820208782299005</v>
      </c>
      <c r="AC21">
        <v>468761.507303302</v>
      </c>
      <c r="AD21">
        <v>0.772428</v>
      </c>
      <c r="AE21">
        <v>12486</v>
      </c>
      <c r="AF21">
        <v>9125</v>
      </c>
      <c r="AG21" t="s">
        <v>65</v>
      </c>
      <c r="AH21" t="s">
        <v>119</v>
      </c>
      <c r="AI21" t="s">
        <v>47</v>
      </c>
      <c r="AJ21" t="s">
        <v>48</v>
      </c>
      <c r="AK21" t="s">
        <v>49</v>
      </c>
      <c r="AL21" t="s">
        <v>50</v>
      </c>
    </row>
    <row r="22" spans="1:38" x14ac:dyDescent="0.2">
      <c r="A22">
        <v>0</v>
      </c>
      <c r="B22">
        <v>2.2000000000000002</v>
      </c>
      <c r="C22" t="s">
        <v>62</v>
      </c>
      <c r="D22" t="s">
        <v>44</v>
      </c>
      <c r="E22">
        <v>79.951121585057194</v>
      </c>
      <c r="F22">
        <v>2297</v>
      </c>
      <c r="G22">
        <v>79.402515723270398</v>
      </c>
      <c r="H22">
        <v>262</v>
      </c>
      <c r="I22">
        <v>20.048878414942799</v>
      </c>
      <c r="J22">
        <v>61.509926654315599</v>
      </c>
      <c r="K22">
        <v>79.951121585057194</v>
      </c>
      <c r="L22">
        <v>80.700317497627097</v>
      </c>
      <c r="M22">
        <v>62.366157451219003</v>
      </c>
      <c r="N22">
        <v>79.951121585057194</v>
      </c>
      <c r="O22">
        <v>79.951121585057194</v>
      </c>
      <c r="P22">
        <v>61.900592109723497</v>
      </c>
      <c r="Q22">
        <v>79.951121585057194</v>
      </c>
      <c r="R22">
        <v>80.310484142453504</v>
      </c>
      <c r="S22">
        <v>20.597484276729599</v>
      </c>
      <c r="T22">
        <v>59.4320752066876</v>
      </c>
      <c r="U22">
        <v>79.402515723270398</v>
      </c>
      <c r="V22">
        <v>79.492270512109002</v>
      </c>
      <c r="W22">
        <v>59.5142827829808</v>
      </c>
      <c r="X22">
        <v>79.402515723270398</v>
      </c>
      <c r="Y22">
        <v>79.402515723270398</v>
      </c>
      <c r="Z22">
        <v>59.472711353244499</v>
      </c>
      <c r="AA22">
        <v>79.402515723270398</v>
      </c>
      <c r="AB22">
        <v>79.447201383292906</v>
      </c>
      <c r="AC22">
        <v>325215.02171506401</v>
      </c>
      <c r="AD22">
        <v>81.609824000000003</v>
      </c>
      <c r="AE22">
        <v>35335</v>
      </c>
      <c r="AF22">
        <v>34569</v>
      </c>
      <c r="AG22" t="s">
        <v>66</v>
      </c>
      <c r="AH22" t="s">
        <v>119</v>
      </c>
      <c r="AI22" t="s">
        <v>47</v>
      </c>
      <c r="AJ22" t="s">
        <v>48</v>
      </c>
      <c r="AK22" t="s">
        <v>49</v>
      </c>
      <c r="AL22" t="s">
        <v>50</v>
      </c>
    </row>
    <row r="23" spans="1:38" x14ac:dyDescent="0.2">
      <c r="A23">
        <v>0</v>
      </c>
      <c r="B23">
        <v>2.21</v>
      </c>
      <c r="C23" t="s">
        <v>62</v>
      </c>
      <c r="D23" t="s">
        <v>44</v>
      </c>
      <c r="E23">
        <v>84.585842716243306</v>
      </c>
      <c r="F23">
        <v>1766</v>
      </c>
      <c r="G23">
        <v>84.748427672955998</v>
      </c>
      <c r="H23">
        <v>194</v>
      </c>
      <c r="I23">
        <v>15.414157283756699</v>
      </c>
      <c r="J23">
        <v>67.328875406355607</v>
      </c>
      <c r="K23">
        <v>84.585842716243306</v>
      </c>
      <c r="L23">
        <v>81.752421917155502</v>
      </c>
      <c r="M23">
        <v>60.063340994096698</v>
      </c>
      <c r="N23">
        <v>84.585842716243306</v>
      </c>
      <c r="O23">
        <v>84.585842716243306</v>
      </c>
      <c r="P23">
        <v>61.9971878794071</v>
      </c>
      <c r="Q23">
        <v>84.585842716243306</v>
      </c>
      <c r="R23">
        <v>82.5655735753964</v>
      </c>
      <c r="S23">
        <v>15.251572327044</v>
      </c>
      <c r="T23">
        <v>67.318492652407997</v>
      </c>
      <c r="U23">
        <v>84.748427672955998</v>
      </c>
      <c r="V23">
        <v>81.5100790899033</v>
      </c>
      <c r="W23">
        <v>58.722830467982803</v>
      </c>
      <c r="X23">
        <v>84.748427672955998</v>
      </c>
      <c r="Y23">
        <v>84.748427672955998</v>
      </c>
      <c r="Z23">
        <v>60.578176520205503</v>
      </c>
      <c r="AA23">
        <v>84.748427672955998</v>
      </c>
      <c r="AB23">
        <v>82.273160988638196</v>
      </c>
      <c r="AC23">
        <v>149817.58267623899</v>
      </c>
      <c r="AD23">
        <v>56.153759999999998</v>
      </c>
      <c r="AE23">
        <v>14067</v>
      </c>
      <c r="AF23">
        <v>12777</v>
      </c>
      <c r="AG23" t="s">
        <v>67</v>
      </c>
      <c r="AH23" t="s">
        <v>119</v>
      </c>
      <c r="AI23" t="s">
        <v>47</v>
      </c>
      <c r="AJ23" t="s">
        <v>48</v>
      </c>
      <c r="AK23" t="s">
        <v>49</v>
      </c>
      <c r="AL23" t="s">
        <v>50</v>
      </c>
    </row>
    <row r="24" spans="1:38" x14ac:dyDescent="0.2">
      <c r="A24">
        <v>0</v>
      </c>
      <c r="B24">
        <v>2.2200000000000002</v>
      </c>
      <c r="C24" t="s">
        <v>62</v>
      </c>
      <c r="D24" t="s">
        <v>44</v>
      </c>
      <c r="E24">
        <v>83.870123068866206</v>
      </c>
      <c r="F24">
        <v>1848</v>
      </c>
      <c r="G24">
        <v>85.220125786163507</v>
      </c>
      <c r="H24">
        <v>188</v>
      </c>
      <c r="I24">
        <v>16.129876931133801</v>
      </c>
      <c r="J24">
        <v>65.610183067306394</v>
      </c>
      <c r="K24">
        <v>83.870123068866206</v>
      </c>
      <c r="L24">
        <v>81.295828419495393</v>
      </c>
      <c r="M24">
        <v>60.2227389482223</v>
      </c>
      <c r="N24">
        <v>83.870123068866206</v>
      </c>
      <c r="O24">
        <v>83.870123068866206</v>
      </c>
      <c r="P24">
        <v>61.8654684095861</v>
      </c>
      <c r="Q24">
        <v>83.870123068866206</v>
      </c>
      <c r="R24">
        <v>82.201379868231399</v>
      </c>
      <c r="S24">
        <v>14.7798742138365</v>
      </c>
      <c r="T24">
        <v>69.273353306801397</v>
      </c>
      <c r="U24">
        <v>85.220125786163507</v>
      </c>
      <c r="V24">
        <v>82.449337222281798</v>
      </c>
      <c r="W24">
        <v>60.5285142681265</v>
      </c>
      <c r="X24">
        <v>85.220125786163507</v>
      </c>
      <c r="Y24">
        <v>85.220125786163507</v>
      </c>
      <c r="Z24">
        <v>62.742116415306</v>
      </c>
      <c r="AA24">
        <v>85.220125786163507</v>
      </c>
      <c r="AB24">
        <v>83.081529752903805</v>
      </c>
      <c r="AC24">
        <v>271261.48309499002</v>
      </c>
      <c r="AD24">
        <v>74.588319999999996</v>
      </c>
      <c r="AE24">
        <v>15839</v>
      </c>
      <c r="AF24">
        <v>14025</v>
      </c>
      <c r="AG24" t="s">
        <v>68</v>
      </c>
      <c r="AH24" t="s">
        <v>119</v>
      </c>
      <c r="AI24" t="s">
        <v>47</v>
      </c>
      <c r="AJ24" t="s">
        <v>48</v>
      </c>
      <c r="AK24" t="s">
        <v>49</v>
      </c>
      <c r="AL24" t="s">
        <v>50</v>
      </c>
    </row>
    <row r="25" spans="1:38" x14ac:dyDescent="0.2">
      <c r="A25">
        <v>0</v>
      </c>
      <c r="B25">
        <v>2.23</v>
      </c>
      <c r="C25" t="s">
        <v>69</v>
      </c>
      <c r="D25" t="s">
        <v>44</v>
      </c>
      <c r="E25">
        <v>85.205551191411402</v>
      </c>
      <c r="F25">
        <v>1695</v>
      </c>
      <c r="G25">
        <v>85.141509433962298</v>
      </c>
      <c r="H25">
        <v>189</v>
      </c>
      <c r="I25">
        <v>14.7944488085886</v>
      </c>
      <c r="J25">
        <v>72.362826955147895</v>
      </c>
      <c r="K25">
        <v>85.205551191411402</v>
      </c>
      <c r="L25">
        <v>81.480492330050097</v>
      </c>
      <c r="M25">
        <v>50.9797305213825</v>
      </c>
      <c r="N25">
        <v>85.205551191411402</v>
      </c>
      <c r="O25">
        <v>85.205551191411402</v>
      </c>
      <c r="P25">
        <v>48.137261544515297</v>
      </c>
      <c r="Q25">
        <v>85.205551191411402</v>
      </c>
      <c r="R25">
        <v>78.917795679347506</v>
      </c>
      <c r="S25">
        <v>14.8584905660377</v>
      </c>
      <c r="T25" t="s">
        <v>52</v>
      </c>
      <c r="U25">
        <v>85.141509433962298</v>
      </c>
      <c r="V25" t="s">
        <v>52</v>
      </c>
      <c r="W25">
        <v>50</v>
      </c>
      <c r="X25">
        <v>85.141509433962298</v>
      </c>
      <c r="Y25">
        <v>85.141509433962298</v>
      </c>
      <c r="Z25">
        <v>45.987261146496799</v>
      </c>
      <c r="AA25">
        <v>85.141509433962298</v>
      </c>
      <c r="AB25">
        <v>78.308496574930899</v>
      </c>
      <c r="AC25">
        <v>78537.153825061701</v>
      </c>
      <c r="AD25">
        <v>60.013064</v>
      </c>
      <c r="AE25">
        <v>20465</v>
      </c>
      <c r="AF25">
        <v>29235</v>
      </c>
      <c r="AG25" t="s">
        <v>70</v>
      </c>
      <c r="AH25" t="s">
        <v>119</v>
      </c>
      <c r="AI25" t="s">
        <v>47</v>
      </c>
      <c r="AJ25" t="s">
        <v>48</v>
      </c>
      <c r="AK25" t="s">
        <v>49</v>
      </c>
      <c r="AL25" t="s">
        <v>50</v>
      </c>
    </row>
    <row r="26" spans="1:38" x14ac:dyDescent="0.2">
      <c r="A26">
        <v>0</v>
      </c>
      <c r="B26">
        <v>2.2400000000000002</v>
      </c>
      <c r="C26" t="s">
        <v>69</v>
      </c>
      <c r="D26" t="s">
        <v>44</v>
      </c>
      <c r="E26">
        <v>85.476128131273498</v>
      </c>
      <c r="F26">
        <v>1664</v>
      </c>
      <c r="G26">
        <v>85.849056603773604</v>
      </c>
      <c r="H26">
        <v>180</v>
      </c>
      <c r="I26">
        <v>14.5238718687265</v>
      </c>
      <c r="J26">
        <v>71.006337864913604</v>
      </c>
      <c r="K26">
        <v>85.476128131273498</v>
      </c>
      <c r="L26">
        <v>81.912581245321505</v>
      </c>
      <c r="M26">
        <v>55.488035690144699</v>
      </c>
      <c r="N26">
        <v>85.476128131273498</v>
      </c>
      <c r="O26">
        <v>85.476128131273498</v>
      </c>
      <c r="P26">
        <v>56.383642877733401</v>
      </c>
      <c r="Q26">
        <v>85.476128131273498</v>
      </c>
      <c r="R26">
        <v>81.390681340298599</v>
      </c>
      <c r="S26">
        <v>14.150943396226401</v>
      </c>
      <c r="T26">
        <v>73.601150491040201</v>
      </c>
      <c r="U26">
        <v>85.849056603773604</v>
      </c>
      <c r="V26">
        <v>82.833551894736303</v>
      </c>
      <c r="W26">
        <v>56.0934499992672</v>
      </c>
      <c r="X26">
        <v>85.849056603773604</v>
      </c>
      <c r="Y26">
        <v>85.849056603773604</v>
      </c>
      <c r="Z26">
        <v>57.314162987710297</v>
      </c>
      <c r="AA26">
        <v>85.849056603773604</v>
      </c>
      <c r="AB26">
        <v>81.843196538441603</v>
      </c>
      <c r="AC26">
        <v>34553.789546701999</v>
      </c>
      <c r="AD26">
        <v>45.248981999999998</v>
      </c>
      <c r="AE26">
        <v>20507</v>
      </c>
      <c r="AF26">
        <v>29235</v>
      </c>
      <c r="AG26" t="s">
        <v>71</v>
      </c>
      <c r="AH26" t="s">
        <v>119</v>
      </c>
      <c r="AI26" t="s">
        <v>47</v>
      </c>
      <c r="AJ26" t="s">
        <v>48</v>
      </c>
      <c r="AK26" t="s">
        <v>49</v>
      </c>
      <c r="AL26" t="s">
        <v>50</v>
      </c>
    </row>
    <row r="27" spans="1:38" x14ac:dyDescent="0.2">
      <c r="A27">
        <v>0</v>
      </c>
      <c r="B27">
        <v>2.2999999999999998</v>
      </c>
      <c r="C27" t="s">
        <v>45</v>
      </c>
      <c r="D27" t="s">
        <v>44</v>
      </c>
      <c r="E27">
        <v>85.257920921707296</v>
      </c>
      <c r="F27">
        <v>1689</v>
      </c>
      <c r="G27">
        <v>85.141509433962298</v>
      </c>
      <c r="H27">
        <v>189</v>
      </c>
      <c r="I27">
        <v>14.742079078292701</v>
      </c>
      <c r="J27">
        <v>92.617361657487507</v>
      </c>
      <c r="K27">
        <v>85.257920921707296</v>
      </c>
      <c r="L27">
        <v>87.434629686742298</v>
      </c>
      <c r="M27">
        <v>50.527240773286501</v>
      </c>
      <c r="N27">
        <v>85.257920921707296</v>
      </c>
      <c r="O27">
        <v>85.257920921707296</v>
      </c>
      <c r="P27">
        <v>47.057919716341701</v>
      </c>
      <c r="Q27">
        <v>85.257920921707296</v>
      </c>
      <c r="R27">
        <v>78.628265965289003</v>
      </c>
      <c r="S27">
        <v>14.8584905660377</v>
      </c>
      <c r="T27" t="s">
        <v>52</v>
      </c>
      <c r="U27">
        <v>85.141509433962298</v>
      </c>
      <c r="V27" t="s">
        <v>52</v>
      </c>
      <c r="W27">
        <v>50</v>
      </c>
      <c r="X27">
        <v>85.141509433962298</v>
      </c>
      <c r="Y27">
        <v>85.141509433962298</v>
      </c>
      <c r="Z27">
        <v>45.987261146496799</v>
      </c>
      <c r="AA27">
        <v>85.141509433962298</v>
      </c>
      <c r="AB27">
        <v>78.308496574930899</v>
      </c>
      <c r="AC27">
        <v>487656.42291648901</v>
      </c>
      <c r="AD27">
        <v>3.3008329999999999</v>
      </c>
      <c r="AE27">
        <v>7738</v>
      </c>
      <c r="AF27">
        <v>7617</v>
      </c>
      <c r="AG27" t="s">
        <v>72</v>
      </c>
      <c r="AH27" t="s">
        <v>119</v>
      </c>
      <c r="AI27" t="s">
        <v>47</v>
      </c>
      <c r="AJ27" t="s">
        <v>48</v>
      </c>
      <c r="AK27" t="s">
        <v>49</v>
      </c>
      <c r="AL27" t="s">
        <v>50</v>
      </c>
    </row>
    <row r="28" spans="1:38" x14ac:dyDescent="0.2">
      <c r="A28">
        <v>0</v>
      </c>
      <c r="B28">
        <v>2.4</v>
      </c>
      <c r="C28" t="s">
        <v>73</v>
      </c>
      <c r="D28" t="s">
        <v>44</v>
      </c>
      <c r="E28">
        <v>86.427511564982098</v>
      </c>
      <c r="F28">
        <v>1555</v>
      </c>
      <c r="G28">
        <v>87.264150943396203</v>
      </c>
      <c r="H28">
        <v>162</v>
      </c>
      <c r="I28">
        <v>13.572488435017901</v>
      </c>
      <c r="J28">
        <v>74.450549740875701</v>
      </c>
      <c r="K28">
        <v>86.427511564982098</v>
      </c>
      <c r="L28">
        <v>84.036648253293606</v>
      </c>
      <c r="M28">
        <v>61.121229327204702</v>
      </c>
      <c r="N28">
        <v>86.427511564982098</v>
      </c>
      <c r="O28">
        <v>86.427511564982098</v>
      </c>
      <c r="P28">
        <v>63.959842155601599</v>
      </c>
      <c r="Q28">
        <v>86.427511564982098</v>
      </c>
      <c r="R28">
        <v>83.936347247315894</v>
      </c>
      <c r="S28">
        <v>12.735849056603801</v>
      </c>
      <c r="T28">
        <v>78.922259568470096</v>
      </c>
      <c r="U28">
        <v>87.264150943396203</v>
      </c>
      <c r="V28">
        <v>85.498671287327198</v>
      </c>
      <c r="W28">
        <v>61.728883612540102</v>
      </c>
      <c r="X28">
        <v>87.264150943396203</v>
      </c>
      <c r="Y28">
        <v>87.264150943396203</v>
      </c>
      <c r="Z28">
        <v>65.061344076176496</v>
      </c>
      <c r="AA28">
        <v>87.264150943396203</v>
      </c>
      <c r="AB28">
        <v>84.636599834849505</v>
      </c>
      <c r="AC28">
        <v>376738.680082865</v>
      </c>
      <c r="AD28">
        <v>1.892072</v>
      </c>
      <c r="AE28">
        <v>5326709</v>
      </c>
      <c r="AF28">
        <v>19956</v>
      </c>
      <c r="AG28" t="s">
        <v>47</v>
      </c>
      <c r="AH28" t="s">
        <v>119</v>
      </c>
      <c r="AI28" t="s">
        <v>47</v>
      </c>
      <c r="AJ28" t="s">
        <v>48</v>
      </c>
      <c r="AK28" t="s">
        <v>49</v>
      </c>
      <c r="AL28" t="s">
        <v>50</v>
      </c>
    </row>
    <row r="29" spans="1:38" x14ac:dyDescent="0.2">
      <c r="A29">
        <v>0</v>
      </c>
      <c r="B29">
        <v>2.5</v>
      </c>
      <c r="C29" t="s">
        <v>74</v>
      </c>
      <c r="D29" t="s">
        <v>44</v>
      </c>
      <c r="E29">
        <v>85.100811730819601</v>
      </c>
      <c r="F29">
        <v>1707</v>
      </c>
      <c r="G29">
        <v>85.141509433962298</v>
      </c>
      <c r="H29">
        <v>189</v>
      </c>
      <c r="I29">
        <v>14.899188269180399</v>
      </c>
      <c r="J29" t="s">
        <v>52</v>
      </c>
      <c r="K29">
        <v>85.100811730819601</v>
      </c>
      <c r="L29" t="s">
        <v>52</v>
      </c>
      <c r="M29">
        <v>50</v>
      </c>
      <c r="N29">
        <v>85.100811730819601</v>
      </c>
      <c r="O29">
        <v>85.100811730819601</v>
      </c>
      <c r="P29">
        <v>45.975385485924498</v>
      </c>
      <c r="Q29">
        <v>85.100811730819601</v>
      </c>
      <c r="R29">
        <v>78.250852489790205</v>
      </c>
      <c r="S29">
        <v>14.8584905660377</v>
      </c>
      <c r="T29" t="s">
        <v>52</v>
      </c>
      <c r="U29">
        <v>85.141509433962298</v>
      </c>
      <c r="V29" t="s">
        <v>52</v>
      </c>
      <c r="W29">
        <v>50</v>
      </c>
      <c r="X29">
        <v>85.141509433962298</v>
      </c>
      <c r="Y29">
        <v>85.141509433962298</v>
      </c>
      <c r="Z29">
        <v>45.987261146496799</v>
      </c>
      <c r="AA29">
        <v>85.141509433962298</v>
      </c>
      <c r="AB29">
        <v>78.308496574930899</v>
      </c>
      <c r="AC29">
        <v>451560.77565820602</v>
      </c>
      <c r="AD29">
        <v>4.7458450000000001</v>
      </c>
      <c r="AE29">
        <v>14563</v>
      </c>
      <c r="AF29">
        <v>7987</v>
      </c>
      <c r="AG29" t="s">
        <v>75</v>
      </c>
      <c r="AH29" t="s">
        <v>119</v>
      </c>
      <c r="AI29" t="s">
        <v>47</v>
      </c>
      <c r="AJ29" t="s">
        <v>48</v>
      </c>
      <c r="AK29" t="s">
        <v>49</v>
      </c>
      <c r="AL29" t="s">
        <v>50</v>
      </c>
    </row>
    <row r="30" spans="1:38" x14ac:dyDescent="0.2">
      <c r="A30">
        <v>0</v>
      </c>
      <c r="B30">
        <v>2.6</v>
      </c>
      <c r="C30" t="s">
        <v>76</v>
      </c>
      <c r="D30" t="s">
        <v>44</v>
      </c>
      <c r="E30">
        <v>85.100811730819601</v>
      </c>
      <c r="F30">
        <v>1707</v>
      </c>
      <c r="G30">
        <v>85.141509433962298</v>
      </c>
      <c r="H30">
        <v>189</v>
      </c>
      <c r="I30">
        <v>14.899188269180399</v>
      </c>
      <c r="J30" t="s">
        <v>52</v>
      </c>
      <c r="K30">
        <v>85.100811730819601</v>
      </c>
      <c r="L30" t="s">
        <v>52</v>
      </c>
      <c r="M30">
        <v>50</v>
      </c>
      <c r="N30">
        <v>85.100811730819601</v>
      </c>
      <c r="O30">
        <v>85.100811730819601</v>
      </c>
      <c r="P30">
        <v>45.975385485924498</v>
      </c>
      <c r="Q30">
        <v>85.100811730819601</v>
      </c>
      <c r="R30">
        <v>78.250852489790205</v>
      </c>
      <c r="S30">
        <v>14.8584905660377</v>
      </c>
      <c r="T30" t="s">
        <v>52</v>
      </c>
      <c r="U30">
        <v>85.141509433962298</v>
      </c>
      <c r="V30" t="s">
        <v>52</v>
      </c>
      <c r="W30">
        <v>50</v>
      </c>
      <c r="X30">
        <v>85.141509433962298</v>
      </c>
      <c r="Y30">
        <v>85.141509433962298</v>
      </c>
      <c r="Z30">
        <v>45.987261146496799</v>
      </c>
      <c r="AA30">
        <v>85.141509433962298</v>
      </c>
      <c r="AB30">
        <v>78.308496574930899</v>
      </c>
      <c r="AC30">
        <v>454877.51617898099</v>
      </c>
      <c r="AD30">
        <v>2.2576160000000001</v>
      </c>
      <c r="AE30">
        <v>14521</v>
      </c>
      <c r="AF30">
        <v>7987</v>
      </c>
      <c r="AG30" t="s">
        <v>77</v>
      </c>
      <c r="AH30" t="s">
        <v>119</v>
      </c>
      <c r="AI30" t="s">
        <v>47</v>
      </c>
      <c r="AJ30" t="s">
        <v>48</v>
      </c>
      <c r="AK30" t="s">
        <v>49</v>
      </c>
      <c r="AL30" t="s">
        <v>50</v>
      </c>
    </row>
    <row r="31" spans="1:38" x14ac:dyDescent="0.2">
      <c r="A31">
        <v>0</v>
      </c>
      <c r="B31">
        <v>2.7</v>
      </c>
      <c r="C31" t="s">
        <v>78</v>
      </c>
      <c r="D31" t="s">
        <v>44</v>
      </c>
      <c r="E31">
        <v>83.817753338570299</v>
      </c>
      <c r="F31">
        <v>1854</v>
      </c>
      <c r="G31">
        <v>84.198113207547195</v>
      </c>
      <c r="H31">
        <v>201</v>
      </c>
      <c r="I31">
        <v>16.182246661429701</v>
      </c>
      <c r="J31">
        <v>65.368935156698996</v>
      </c>
      <c r="K31">
        <v>83.817753338570299</v>
      </c>
      <c r="L31">
        <v>81.162851562956703</v>
      </c>
      <c r="M31">
        <v>59.926177279077102</v>
      </c>
      <c r="N31">
        <v>83.817753338570299</v>
      </c>
      <c r="O31">
        <v>83.817753338570299</v>
      </c>
      <c r="P31">
        <v>61.548602393893603</v>
      </c>
      <c r="Q31">
        <v>83.817753338570299</v>
      </c>
      <c r="R31">
        <v>82.091185379102299</v>
      </c>
      <c r="S31">
        <v>15.8018867924528</v>
      </c>
      <c r="T31">
        <v>65.813993174061395</v>
      </c>
      <c r="U31">
        <v>84.198113207547195</v>
      </c>
      <c r="V31">
        <v>81.145526112434794</v>
      </c>
      <c r="W31">
        <v>59.0548007445514</v>
      </c>
      <c r="X31">
        <v>84.198113207547195</v>
      </c>
      <c r="Y31">
        <v>84.198113207547195</v>
      </c>
      <c r="Z31">
        <v>60.768150745363997</v>
      </c>
      <c r="AA31">
        <v>84.198113207547195</v>
      </c>
      <c r="AB31">
        <v>82.076783951052505</v>
      </c>
      <c r="AC31">
        <v>245053.79333946499</v>
      </c>
      <c r="AD31">
        <v>1.7454460000000001</v>
      </c>
      <c r="AE31">
        <v>17955</v>
      </c>
      <c r="AF31">
        <v>17513</v>
      </c>
      <c r="AG31" t="s">
        <v>79</v>
      </c>
      <c r="AH31" t="s">
        <v>119</v>
      </c>
      <c r="AI31" t="s">
        <v>47</v>
      </c>
      <c r="AJ31" t="s">
        <v>48</v>
      </c>
      <c r="AK31" t="s">
        <v>49</v>
      </c>
      <c r="AL31" t="s">
        <v>50</v>
      </c>
    </row>
    <row r="32" spans="1:38" x14ac:dyDescent="0.2">
      <c r="A32">
        <v>0</v>
      </c>
      <c r="B32">
        <v>2.8</v>
      </c>
      <c r="C32" t="s">
        <v>78</v>
      </c>
      <c r="D32" t="s">
        <v>44</v>
      </c>
      <c r="E32">
        <v>85.004800558610498</v>
      </c>
      <c r="F32">
        <v>1718</v>
      </c>
      <c r="G32" t="s">
        <v>52</v>
      </c>
      <c r="H32" t="s">
        <v>52</v>
      </c>
      <c r="I32">
        <v>14.9951994413895</v>
      </c>
      <c r="J32">
        <v>67.933449245253797</v>
      </c>
      <c r="K32">
        <v>85.004800558610498</v>
      </c>
      <c r="L32">
        <v>81.213735405745894</v>
      </c>
      <c r="M32">
        <v>56.564237754044399</v>
      </c>
      <c r="N32">
        <v>85.004800558610498</v>
      </c>
      <c r="O32">
        <v>85.004800558610498</v>
      </c>
      <c r="P32">
        <v>57.931582482210104</v>
      </c>
      <c r="Q32">
        <v>85.004800558610498</v>
      </c>
      <c r="R32">
        <v>81.623225718907705</v>
      </c>
      <c r="S32" t="s">
        <v>52</v>
      </c>
      <c r="T32" t="s">
        <v>52</v>
      </c>
      <c r="U32" t="s">
        <v>52</v>
      </c>
      <c r="V32" t="s">
        <v>52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>
        <v>542.45610317091803</v>
      </c>
      <c r="AD32">
        <v>108.255658</v>
      </c>
      <c r="AE32">
        <v>8529091</v>
      </c>
      <c r="AF32">
        <v>4234411</v>
      </c>
      <c r="AG32" t="s">
        <v>80</v>
      </c>
      <c r="AH32" t="s">
        <v>119</v>
      </c>
      <c r="AI32" t="s">
        <v>47</v>
      </c>
      <c r="AJ32" t="s">
        <v>48</v>
      </c>
      <c r="AK32" t="s">
        <v>49</v>
      </c>
      <c r="AL32" t="s">
        <v>50</v>
      </c>
    </row>
    <row r="33" spans="1:38" x14ac:dyDescent="0.2">
      <c r="A33">
        <v>0</v>
      </c>
      <c r="B33">
        <v>2.9</v>
      </c>
      <c r="C33" t="s">
        <v>51</v>
      </c>
      <c r="D33" t="s">
        <v>44</v>
      </c>
      <c r="E33">
        <v>85.100811730819601</v>
      </c>
      <c r="F33">
        <v>1707</v>
      </c>
      <c r="G33">
        <v>85.141509433962298</v>
      </c>
      <c r="H33">
        <v>189</v>
      </c>
      <c r="I33">
        <v>14.899188269180399</v>
      </c>
      <c r="J33" t="s">
        <v>52</v>
      </c>
      <c r="K33">
        <v>85.100811730819601</v>
      </c>
      <c r="L33" t="s">
        <v>52</v>
      </c>
      <c r="M33">
        <v>50</v>
      </c>
      <c r="N33">
        <v>85.100811730819601</v>
      </c>
      <c r="O33">
        <v>85.100811730819601</v>
      </c>
      <c r="P33">
        <v>45.975385485924498</v>
      </c>
      <c r="Q33">
        <v>85.100811730819601</v>
      </c>
      <c r="R33">
        <v>78.250852489790205</v>
      </c>
      <c r="S33">
        <v>14.8584905660377</v>
      </c>
      <c r="T33" t="s">
        <v>52</v>
      </c>
      <c r="U33">
        <v>85.141509433962298</v>
      </c>
      <c r="V33" t="s">
        <v>52</v>
      </c>
      <c r="W33">
        <v>50</v>
      </c>
      <c r="X33">
        <v>85.141509433962298</v>
      </c>
      <c r="Y33">
        <v>85.141509433962298</v>
      </c>
      <c r="Z33">
        <v>45.987261146496799</v>
      </c>
      <c r="AA33">
        <v>85.141509433962298</v>
      </c>
      <c r="AB33">
        <v>78.308496574930899</v>
      </c>
      <c r="AC33">
        <v>15154.360995740901</v>
      </c>
      <c r="AD33">
        <v>9.7065819999999992</v>
      </c>
      <c r="AE33">
        <v>892174</v>
      </c>
      <c r="AF33">
        <v>891645</v>
      </c>
      <c r="AG33" t="s">
        <v>81</v>
      </c>
      <c r="AH33" t="s">
        <v>119</v>
      </c>
      <c r="AI33" t="s">
        <v>47</v>
      </c>
      <c r="AJ33" t="s">
        <v>48</v>
      </c>
      <c r="AK33" t="s">
        <v>49</v>
      </c>
      <c r="AL33" t="s">
        <v>50</v>
      </c>
    </row>
  </sheetData>
  <sortState xmlns:xlrd2="http://schemas.microsoft.com/office/spreadsheetml/2017/richdata2" ref="A10:AL33">
    <sortCondition ref="B10:B33"/>
  </sortState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CF3C-5C06-4401-A42E-AF4AE2754F01}">
  <dimension ref="A1:AL33"/>
  <sheetViews>
    <sheetView workbookViewId="0">
      <selection activeCell="G37" sqref="G37"/>
    </sheetView>
  </sheetViews>
  <sheetFormatPr baseColWidth="10" defaultColWidth="8.83203125" defaultRowHeight="16" x14ac:dyDescent="0.2"/>
  <sheetData>
    <row r="1" spans="1:38" x14ac:dyDescent="0.2">
      <c r="A1" t="s">
        <v>0</v>
      </c>
    </row>
    <row r="2" spans="1:38" x14ac:dyDescent="0.2">
      <c r="A2" t="s">
        <v>115</v>
      </c>
    </row>
    <row r="3" spans="1:38" x14ac:dyDescent="0.2">
      <c r="A3" t="s">
        <v>116</v>
      </c>
    </row>
    <row r="4" spans="1:38" x14ac:dyDescent="0.2">
      <c r="A4" t="s">
        <v>117</v>
      </c>
    </row>
    <row r="5" spans="1:38" x14ac:dyDescent="0.2">
      <c r="A5" t="s">
        <v>4</v>
      </c>
    </row>
    <row r="6" spans="1:38" x14ac:dyDescent="0.2">
      <c r="A6" t="s">
        <v>118</v>
      </c>
    </row>
    <row r="9" spans="1:38" x14ac:dyDescent="0.2">
      <c r="A9" t="s">
        <v>6</v>
      </c>
      <c r="B9" t="s">
        <v>7</v>
      </c>
      <c r="C9" t="s">
        <v>9</v>
      </c>
      <c r="D9" t="s">
        <v>8</v>
      </c>
      <c r="E9" t="s">
        <v>10</v>
      </c>
      <c r="F9" t="s">
        <v>11</v>
      </c>
      <c r="G9" t="s">
        <v>22</v>
      </c>
      <c r="H9" t="s">
        <v>23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  <c r="Q9" t="s">
        <v>20</v>
      </c>
      <c r="R9" t="s">
        <v>21</v>
      </c>
      <c r="S9" t="s">
        <v>24</v>
      </c>
      <c r="T9" t="s">
        <v>25</v>
      </c>
      <c r="U9" t="s">
        <v>26</v>
      </c>
      <c r="V9" t="s">
        <v>27</v>
      </c>
      <c r="W9" t="s">
        <v>28</v>
      </c>
      <c r="X9" t="s">
        <v>29</v>
      </c>
      <c r="Y9" t="s">
        <v>30</v>
      </c>
      <c r="Z9" t="s">
        <v>31</v>
      </c>
      <c r="AA9" t="s">
        <v>32</v>
      </c>
      <c r="AB9" t="s">
        <v>33</v>
      </c>
      <c r="AC9" t="s">
        <v>34</v>
      </c>
      <c r="AD9" t="s">
        <v>35</v>
      </c>
      <c r="AE9" t="s">
        <v>36</v>
      </c>
      <c r="AF9" t="s">
        <v>37</v>
      </c>
      <c r="AG9" t="s">
        <v>38</v>
      </c>
      <c r="AH9" t="s">
        <v>39</v>
      </c>
      <c r="AI9" t="s">
        <v>40</v>
      </c>
      <c r="AJ9" t="s">
        <v>41</v>
      </c>
      <c r="AK9" t="s">
        <v>42</v>
      </c>
      <c r="AL9" t="s">
        <v>43</v>
      </c>
    </row>
    <row r="10" spans="1:38" ht="13.5" customHeight="1" x14ac:dyDescent="0.2">
      <c r="A10">
        <v>0</v>
      </c>
      <c r="B10">
        <v>2.1</v>
      </c>
      <c r="C10" t="s">
        <v>45</v>
      </c>
      <c r="D10" t="s">
        <v>44</v>
      </c>
      <c r="E10">
        <f>MEDIAN('L1'!E10,'L2'!E10,'L3'!E10,'L4'!E10,'L5'!E10)</f>
        <v>84.679000000000002</v>
      </c>
      <c r="F10">
        <f>MEDIAN('L1'!F10,'L2'!F10,'L3'!F10,'L4'!F10,'L5'!F10)</f>
        <v>1660</v>
      </c>
      <c r="G10">
        <f>MEDIAN('L1'!G10,'L2'!G10,'L3'!G10,'L4'!G10,'L5'!G10)</f>
        <v>84.389732844421204</v>
      </c>
      <c r="H10">
        <f>MEDIAN('L1'!H10,'L2'!H10,'L3'!H10,'L4'!H10,'L5'!H10)</f>
        <v>298</v>
      </c>
      <c r="I10">
        <f>MEDIAN('L1'!I10,'L2'!I10,'L3'!I10,'L4'!I10,'L5'!I10)</f>
        <v>15.2657763812516</v>
      </c>
      <c r="J10">
        <f>MEDIAN('L1'!J10,'L2'!J10,'L3'!J10,'L4'!J10,'L5'!J10)</f>
        <v>67.937991712629795</v>
      </c>
      <c r="K10">
        <f>MEDIAN('L1'!K10,'L2'!K10,'L3'!K10,'L4'!K10,'L5'!K10)</f>
        <v>84.734223618748402</v>
      </c>
      <c r="L10">
        <f>MEDIAN('L1'!L10,'L2'!L10,'L3'!L10,'L4'!L10,'L5'!L10)</f>
        <v>82.049570060839102</v>
      </c>
      <c r="M10">
        <f>MEDIAN('L1'!M10,'L2'!M10,'L3'!M10,'L4'!M10,'L5'!M10)</f>
        <v>59.324640565006597</v>
      </c>
      <c r="N10">
        <f>MEDIAN('L1'!N10,'L2'!N10,'L3'!N10,'L4'!N10,'L5'!N10)</f>
        <v>84.734223618748402</v>
      </c>
      <c r="O10">
        <f>MEDIAN('L1'!O10,'L2'!O10,'L3'!O10,'L4'!O10,'L5'!O10)</f>
        <v>84.734223618748402</v>
      </c>
      <c r="P10">
        <f>MEDIAN('L1'!P10,'L2'!P10,'L3'!P10,'L4'!P10,'L5'!P10)</f>
        <v>61.398310001073398</v>
      </c>
      <c r="Q10">
        <f>MEDIAN('L1'!Q10,'L2'!Q10,'L3'!Q10,'L4'!Q10,'L5'!Q10)</f>
        <v>84.734223618748402</v>
      </c>
      <c r="R10">
        <f>MEDIAN('L1'!R10,'L2'!R10,'L3'!R10,'L4'!R10,'L5'!R10)</f>
        <v>82.6422478087934</v>
      </c>
      <c r="S10">
        <f>MEDIAN('L1'!S10,'L2'!S10,'L3'!S10,'L4'!S10,'L5'!S10)</f>
        <v>15.6102671555788</v>
      </c>
      <c r="T10">
        <f>MEDIAN('L1'!T10,'L2'!T10,'L3'!T10,'L4'!T10,'L5'!T10)</f>
        <v>66.971807390388705</v>
      </c>
      <c r="U10">
        <f>MEDIAN('L1'!U10,'L2'!U10,'L3'!U10,'L4'!U10,'L5'!U10)</f>
        <v>84.389732844421204</v>
      </c>
      <c r="V10">
        <f>MEDIAN('L1'!V10,'L2'!V10,'L3'!V10,'L4'!V10,'L5'!V10)</f>
        <v>81.820782618524404</v>
      </c>
      <c r="W10">
        <f>MEDIAN('L1'!W10,'L2'!W10,'L3'!W10,'L4'!W10,'L5'!W10)</f>
        <v>60.756338028168997</v>
      </c>
      <c r="X10">
        <f>MEDIAN('L1'!X10,'L2'!X10,'L3'!X10,'L4'!X10,'L5'!X10)</f>
        <v>84.389732844421204</v>
      </c>
      <c r="Y10">
        <f>MEDIAN('L1'!Y10,'L2'!Y10,'L3'!Y10,'L4'!Y10,'L5'!Y10)</f>
        <v>84.389732844421204</v>
      </c>
      <c r="Z10">
        <f>MEDIAN('L1'!Z10,'L2'!Z10,'L3'!Z10,'L4'!Z10,'L5'!Z10)</f>
        <v>62.608779097587004</v>
      </c>
      <c r="AA10">
        <f>MEDIAN('L1'!AA10,'L2'!AA10,'L3'!AA10,'L4'!AA10,'L5'!AA10)</f>
        <v>84.389732844421204</v>
      </c>
      <c r="AB10">
        <f>MEDIAN('L1'!AB10,'L2'!AB10,'L3'!AB10,'L4'!AB10,'L5'!AB10)</f>
        <v>82.655628084892797</v>
      </c>
      <c r="AC10">
        <f>MEDIAN('L1'!AC10,'L2'!AC10,'L3'!AC10,'L4'!AC10,'L5'!AC10)</f>
        <v>353363.81450032699</v>
      </c>
      <c r="AD10">
        <f>MEDIAN('L1'!AD10,'L2'!AD10,'L3'!AD10,'L4'!AD10,'L5'!AD10)</f>
        <v>4.7482199999999999</v>
      </c>
      <c r="AE10">
        <f>MEDIAN('L1'!AE10,'L2'!AE10,'L3'!AE10,'L4'!AE10,'L5'!AE10)</f>
        <v>35026</v>
      </c>
      <c r="AF10">
        <f>MEDIAN('L1'!AF10,'L2'!AF10,'L3'!AF10,'L4'!AF10,'L5'!AF10)</f>
        <v>26745</v>
      </c>
      <c r="AG10" t="e">
        <f>MEDIAN('L1'!AG10,'L2'!AG10,'L3'!AG10,'L4'!AG10,'L5'!AG10)</f>
        <v>#NUM!</v>
      </c>
    </row>
    <row r="11" spans="1:38" x14ac:dyDescent="0.2">
      <c r="A11">
        <v>0</v>
      </c>
      <c r="B11">
        <v>2.1</v>
      </c>
      <c r="C11" t="s">
        <v>51</v>
      </c>
      <c r="D11" t="s">
        <v>44</v>
      </c>
      <c r="E11">
        <f>MEDIAN('L1'!E11,'L2'!E11,'L3'!E11,'L4'!E11,'L5'!E11)</f>
        <v>85.970425138632194</v>
      </c>
      <c r="F11">
        <f>MEDIAN('L1'!F11,'L2'!F11,'L3'!F11,'L4'!F11,'L5'!F11)</f>
        <v>1518</v>
      </c>
      <c r="G11">
        <f>MEDIAN('L1'!G11,'L2'!G11,'L3'!G11,'L4'!G11,'L5'!G11)</f>
        <v>85.961236249345205</v>
      </c>
      <c r="H11">
        <f>MEDIAN('L1'!H11,'L2'!H11,'L3'!H11,'L4'!H11,'L5'!H11)</f>
        <v>268</v>
      </c>
      <c r="I11">
        <f>MEDIAN('L1'!I11,'L2'!I11,'L3'!I11,'L4'!I11,'L5'!I11)</f>
        <v>14.0295748613678</v>
      </c>
      <c r="J11">
        <f>MEDIAN('L1'!J11,'L2'!J11,'L3'!J11,'L4'!J11,'L5'!J11)</f>
        <v>75.892323115792905</v>
      </c>
      <c r="K11">
        <f>MEDIAN('L1'!K11,'L2'!K11,'L3'!K11,'L4'!K11,'L5'!K11)</f>
        <v>85.970425138632194</v>
      </c>
      <c r="L11">
        <f>MEDIAN('L1'!L11,'L2'!L11,'L3'!L11,'L4'!L11,'L5'!L11)</f>
        <v>83.410229389452894</v>
      </c>
      <c r="M11">
        <f>MEDIAN('L1'!M11,'L2'!M11,'L3'!M11,'L4'!M11,'L5'!M11)</f>
        <v>55.627887498841197</v>
      </c>
      <c r="N11">
        <f>MEDIAN('L1'!N11,'L2'!N11,'L3'!N11,'L4'!N11,'L5'!N11)</f>
        <v>85.970425138632194</v>
      </c>
      <c r="O11">
        <f>MEDIAN('L1'!O11,'L2'!O11,'L3'!O11,'L4'!O11,'L5'!O11)</f>
        <v>85.970425138632194</v>
      </c>
      <c r="P11">
        <f>MEDIAN('L1'!P11,'L2'!P11,'L3'!P11,'L4'!P11,'L5'!P11)</f>
        <v>56.579034608165102</v>
      </c>
      <c r="Q11">
        <f>MEDIAN('L1'!Q11,'L2'!Q11,'L3'!Q11,'L4'!Q11,'L5'!Q11)</f>
        <v>85.970425138632194</v>
      </c>
      <c r="R11">
        <f>MEDIAN('L1'!R11,'L2'!R11,'L3'!R11,'L4'!R11,'L5'!R11)</f>
        <v>81.658455240543006</v>
      </c>
      <c r="S11">
        <f>MEDIAN('L1'!S11,'L2'!S11,'L3'!S11,'L4'!S11,'L5'!S11)</f>
        <v>14.0387637506548</v>
      </c>
      <c r="T11">
        <f>MEDIAN('L1'!T11,'L2'!T11,'L3'!T11,'L4'!T11,'L5'!T11)</f>
        <v>76.249058633673997</v>
      </c>
      <c r="U11">
        <f>MEDIAN('L1'!U11,'L2'!U11,'L3'!U11,'L4'!U11,'L5'!U11)</f>
        <v>85.961236249345205</v>
      </c>
      <c r="V11">
        <f>MEDIAN('L1'!V11,'L2'!V11,'L3'!V11,'L4'!V11,'L5'!V11)</f>
        <v>83.448633085091998</v>
      </c>
      <c r="W11">
        <f>MEDIAN('L1'!W11,'L2'!W11,'L3'!W11,'L4'!W11,'L5'!W11)</f>
        <v>54.795614767913897</v>
      </c>
      <c r="X11">
        <f>MEDIAN('L1'!X11,'L2'!X11,'L3'!X11,'L4'!X11,'L5'!X11)</f>
        <v>85.961236249345205</v>
      </c>
      <c r="Y11">
        <f>MEDIAN('L1'!Y11,'L2'!Y11,'L3'!Y11,'L4'!Y11,'L5'!Y11)</f>
        <v>85.961236249345205</v>
      </c>
      <c r="Z11">
        <f>MEDIAN('L1'!Z11,'L2'!Z11,'L3'!Z11,'L4'!Z11,'L5'!Z11)</f>
        <v>55.166434039673497</v>
      </c>
      <c r="AA11">
        <f>MEDIAN('L1'!AA11,'L2'!AA11,'L3'!AA11,'L4'!AA11,'L5'!AA11)</f>
        <v>85.961236249345205</v>
      </c>
      <c r="AB11">
        <f>MEDIAN('L1'!AB11,'L2'!AB11,'L3'!AB11,'L4'!AB11,'L5'!AB11)</f>
        <v>81.400314744720802</v>
      </c>
      <c r="AC11">
        <f>MEDIAN('L1'!AC11,'L2'!AC11,'L3'!AC11,'L4'!AC11,'L5'!AC11)</f>
        <v>10928.5499663759</v>
      </c>
      <c r="AD11">
        <f>MEDIAN('L1'!AD11,'L2'!AD11,'L3'!AD11,'L4'!AD11,'L5'!AD11)</f>
        <v>75.887696000000005</v>
      </c>
      <c r="AE11">
        <f>MEDIAN('L1'!AE11,'L2'!AE11,'L3'!AE11,'L4'!AE11,'L5'!AE11)</f>
        <v>835902</v>
      </c>
      <c r="AF11">
        <f>MEDIAN('L1'!AF11,'L2'!AF11,'L3'!AF11,'L4'!AF11,'L5'!AF11)</f>
        <v>835597</v>
      </c>
      <c r="AG11" t="e">
        <f>MEDIAN('L1'!AG11,'L2'!AG11,'L3'!AG11,'L4'!AG11,'L5'!AG11)</f>
        <v>#NUM!</v>
      </c>
    </row>
    <row r="12" spans="1:38" x14ac:dyDescent="0.2">
      <c r="A12">
        <v>0</v>
      </c>
      <c r="B12">
        <v>2.11</v>
      </c>
      <c r="C12" t="s">
        <v>51</v>
      </c>
      <c r="D12" t="s">
        <v>44</v>
      </c>
      <c r="E12">
        <f>MEDIAN('L1'!E12,'L2'!E12,'L3'!E12,'L4'!E12,'L5'!E12)</f>
        <v>83.752310536044405</v>
      </c>
      <c r="F12">
        <f>MEDIAN('L1'!F12,'L2'!F12,'L3'!F12,'L4'!F12,'L5'!F12)</f>
        <v>1807</v>
      </c>
      <c r="G12">
        <f>MEDIAN('L1'!G12,'L2'!G12,'L3'!G12,'L4'!G12,'L5'!G12)</f>
        <v>84.494499738082794</v>
      </c>
      <c r="H12">
        <f>MEDIAN('L1'!H12,'L2'!H12,'L3'!H12,'L4'!H12,'L5'!H12)</f>
        <v>296</v>
      </c>
      <c r="I12">
        <f>MEDIAN('L1'!I12,'L2'!I12,'L3'!I12,'L4'!I12,'L5'!I12)</f>
        <v>16.247689463955599</v>
      </c>
      <c r="J12">
        <f>MEDIAN('L1'!J12,'L2'!J12,'L3'!J12,'L4'!J12,'L5'!J12)</f>
        <v>65.669242388474899</v>
      </c>
      <c r="K12">
        <f>MEDIAN('L1'!K12,'L2'!K12,'L3'!K12,'L4'!K12,'L5'!K12)</f>
        <v>83.752310536044405</v>
      </c>
      <c r="L12">
        <f>MEDIAN('L1'!L12,'L2'!L12,'L3'!L12,'L4'!L12,'L5'!L12)</f>
        <v>81.404211390797599</v>
      </c>
      <c r="M12">
        <f>MEDIAN('L1'!M12,'L2'!M12,'L3'!M12,'L4'!M12,'L5'!M12)</f>
        <v>60.594701334935401</v>
      </c>
      <c r="N12">
        <f>MEDIAN('L1'!N12,'L2'!N12,'L3'!N12,'L4'!N12,'L5'!N12)</f>
        <v>83.752310536044405</v>
      </c>
      <c r="O12">
        <f>MEDIAN('L1'!O12,'L2'!O12,'L3'!O12,'L4'!O12,'L5'!O12)</f>
        <v>83.752310536044405</v>
      </c>
      <c r="P12">
        <f>MEDIAN('L1'!P12,'L2'!P12,'L3'!P12,'L4'!P12,'L5'!P12)</f>
        <v>62.210723533755001</v>
      </c>
      <c r="Q12">
        <f>MEDIAN('L1'!Q12,'L2'!Q12,'L3'!Q12,'L4'!Q12,'L5'!Q12)</f>
        <v>83.752310536044405</v>
      </c>
      <c r="R12">
        <f>MEDIAN('L1'!R12,'L2'!R12,'L3'!R12,'L4'!R12,'L5'!R12)</f>
        <v>82.284636099000807</v>
      </c>
      <c r="S12">
        <f>MEDIAN('L1'!S12,'L2'!S12,'L3'!S12,'L4'!S12,'L5'!S12)</f>
        <v>15.5055002619172</v>
      </c>
      <c r="T12">
        <f>MEDIAN('L1'!T12,'L2'!T12,'L3'!T12,'L4'!T12,'L5'!T12)</f>
        <v>67.670323703967199</v>
      </c>
      <c r="U12">
        <f>MEDIAN('L1'!U12,'L2'!U12,'L3'!U12,'L4'!U12,'L5'!U12)</f>
        <v>84.494499738082794</v>
      </c>
      <c r="V12">
        <f>MEDIAN('L1'!V12,'L2'!V12,'L3'!V12,'L4'!V12,'L5'!V12)</f>
        <v>82.349061545053104</v>
      </c>
      <c r="W12">
        <f>MEDIAN('L1'!W12,'L2'!W12,'L3'!W12,'L4'!W12,'L5'!W12)</f>
        <v>61.826349499479697</v>
      </c>
      <c r="X12">
        <f>MEDIAN('L1'!X12,'L2'!X12,'L3'!X12,'L4'!X12,'L5'!X12)</f>
        <v>84.494499738082794</v>
      </c>
      <c r="Y12">
        <f>MEDIAN('L1'!Y12,'L2'!Y12,'L3'!Y12,'L4'!Y12,'L5'!Y12)</f>
        <v>84.494499738082794</v>
      </c>
      <c r="Z12">
        <f>MEDIAN('L1'!Z12,'L2'!Z12,'L3'!Z12,'L4'!Z12,'L5'!Z12)</f>
        <v>63.845701839260201</v>
      </c>
      <c r="AA12">
        <f>MEDIAN('L1'!AA12,'L2'!AA12,'L3'!AA12,'L4'!AA12,'L5'!AA12)</f>
        <v>84.494499738082794</v>
      </c>
      <c r="AB12">
        <f>MEDIAN('L1'!AB12,'L2'!AB12,'L3'!AB12,'L4'!AB12,'L5'!AB12)</f>
        <v>83.104901211216202</v>
      </c>
      <c r="AC12">
        <f>MEDIAN('L1'!AC12,'L2'!AC12,'L3'!AC12,'L4'!AC12,'L5'!AC12)</f>
        <v>12989.722280485899</v>
      </c>
      <c r="AD12">
        <f>MEDIAN('L1'!AD12,'L2'!AD12,'L3'!AD12,'L4'!AD12,'L5'!AD12)</f>
        <v>81.886630999999994</v>
      </c>
      <c r="AE12">
        <f>MEDIAN('L1'!AE12,'L2'!AE12,'L3'!AE12,'L4'!AE12,'L5'!AE12)</f>
        <v>916502</v>
      </c>
      <c r="AF12">
        <f>MEDIAN('L1'!AF12,'L2'!AF12,'L3'!AF12,'L4'!AF12,'L5'!AF12)</f>
        <v>916197</v>
      </c>
      <c r="AG12" t="e">
        <f>MEDIAN('L1'!AG12,'L2'!AG12,'L3'!AG12,'L4'!AG12,'L5'!AG12)</f>
        <v>#NUM!</v>
      </c>
    </row>
    <row r="13" spans="1:38" x14ac:dyDescent="0.2">
      <c r="A13">
        <v>0</v>
      </c>
      <c r="B13">
        <v>2.12</v>
      </c>
      <c r="C13" t="s">
        <v>51</v>
      </c>
      <c r="D13" t="s">
        <v>44</v>
      </c>
      <c r="E13">
        <f>MEDIAN('L1'!E13,'L2'!E13,'L3'!E13,'L4'!E13,'L5'!E13)</f>
        <v>85.101663585951897</v>
      </c>
      <c r="F13">
        <f>MEDIAN('L1'!F13,'L2'!F13,'L3'!F13,'L4'!F13,'L5'!F13)</f>
        <v>1612</v>
      </c>
      <c r="G13">
        <f>MEDIAN('L1'!G13,'L2'!G13,'L3'!G13,'L4'!G13,'L5'!G13)</f>
        <v>85.123101100052395</v>
      </c>
      <c r="H13">
        <f>MEDIAN('L1'!H13,'L2'!H13,'L3'!H13,'L4'!H13,'L5'!H13)</f>
        <v>284</v>
      </c>
      <c r="I13">
        <f>MEDIAN('L1'!I13,'L2'!I13,'L3'!I13,'L4'!I13,'L5'!I13)</f>
        <v>14.898336414048099</v>
      </c>
      <c r="J13" t="e">
        <f>MEDIAN('L1'!J13,'L2'!J13,'L3'!J13,'L4'!J13,'L5'!J13)</f>
        <v>#NUM!</v>
      </c>
      <c r="K13">
        <f>MEDIAN('L1'!K13,'L2'!K13,'L3'!K13,'L4'!K13,'L5'!K13)</f>
        <v>85.101663585951897</v>
      </c>
      <c r="L13" t="e">
        <f>MEDIAN('L1'!L13,'L2'!L13,'L3'!L13,'L4'!L13,'L5'!L13)</f>
        <v>#NUM!</v>
      </c>
      <c r="M13">
        <f>MEDIAN('L1'!M13,'L2'!M13,'L3'!M13,'L4'!M13,'L5'!M13)</f>
        <v>50</v>
      </c>
      <c r="N13">
        <f>MEDIAN('L1'!N13,'L2'!N13,'L3'!N13,'L4'!N13,'L5'!N13)</f>
        <v>85.101663585951897</v>
      </c>
      <c r="O13">
        <f>MEDIAN('L1'!O13,'L2'!O13,'L3'!O13,'L4'!O13,'L5'!O13)</f>
        <v>85.101663585951897</v>
      </c>
      <c r="P13">
        <f>MEDIAN('L1'!P13,'L2'!P13,'L3'!P13,'L4'!P13,'L5'!P13)</f>
        <v>45.975634112242901</v>
      </c>
      <c r="Q13">
        <f>MEDIAN('L1'!Q13,'L2'!Q13,'L3'!Q13,'L4'!Q13,'L5'!Q13)</f>
        <v>85.101663585951897</v>
      </c>
      <c r="R13">
        <f>MEDIAN('L1'!R13,'L2'!R13,'L3'!R13,'L4'!R13,'L5'!R13)</f>
        <v>78.252058947418206</v>
      </c>
      <c r="S13">
        <f>MEDIAN('L1'!S13,'L2'!S13,'L3'!S13,'L4'!S13,'L5'!S13)</f>
        <v>14.8768988999476</v>
      </c>
      <c r="T13" t="e">
        <f>MEDIAN('L1'!T13,'L2'!T13,'L3'!T13,'L4'!T13,'L5'!T13)</f>
        <v>#NUM!</v>
      </c>
      <c r="U13">
        <f>MEDIAN('L1'!U13,'L2'!U13,'L3'!U13,'L4'!U13,'L5'!U13)</f>
        <v>85.123101100052395</v>
      </c>
      <c r="V13" t="e">
        <f>MEDIAN('L1'!V13,'L2'!V13,'L3'!V13,'L4'!V13,'L5'!V13)</f>
        <v>#NUM!</v>
      </c>
      <c r="W13">
        <f>MEDIAN('L1'!W13,'L2'!W13,'L3'!W13,'L4'!W13,'L5'!W13)</f>
        <v>50</v>
      </c>
      <c r="X13">
        <f>MEDIAN('L1'!X13,'L2'!X13,'L3'!X13,'L4'!X13,'L5'!X13)</f>
        <v>85.123101100052395</v>
      </c>
      <c r="Y13">
        <f>MEDIAN('L1'!Y13,'L2'!Y13,'L3'!Y13,'L4'!Y13,'L5'!Y13)</f>
        <v>85.123101100052395</v>
      </c>
      <c r="Z13">
        <f>MEDIAN('L1'!Z13,'L2'!Z13,'L3'!Z13,'L4'!Z13,'L5'!Z13)</f>
        <v>45.9818902093945</v>
      </c>
      <c r="AA13">
        <f>MEDIAN('L1'!AA13,'L2'!AA13,'L3'!AA13,'L4'!AA13,'L5'!AA13)</f>
        <v>85.123101100052395</v>
      </c>
      <c r="AB13">
        <f>MEDIAN('L1'!AB13,'L2'!AB13,'L3'!AB13,'L4'!AB13,'L5'!AB13)</f>
        <v>78.282421781315904</v>
      </c>
      <c r="AC13">
        <f>MEDIAN('L1'!AC13,'L2'!AC13,'L3'!AC13,'L4'!AC13,'L5'!AC13)</f>
        <v>4571.1176340368302</v>
      </c>
      <c r="AD13">
        <f>MEDIAN('L1'!AD13,'L2'!AD13,'L3'!AD13,'L4'!AD13,'L5'!AD13)</f>
        <v>58.249769999999998</v>
      </c>
      <c r="AE13">
        <f>MEDIAN('L1'!AE13,'L2'!AE13,'L3'!AE13,'L4'!AE13,'L5'!AE13)</f>
        <v>2691930</v>
      </c>
      <c r="AF13">
        <f>MEDIAN('L1'!AF13,'L2'!AF13,'L3'!AF13,'L4'!AF13,'L5'!AF13)</f>
        <v>2691629</v>
      </c>
      <c r="AG13" t="e">
        <f>MEDIAN('L1'!AG13,'L2'!AG13,'L3'!AG13,'L4'!AG13,'L5'!AG13)</f>
        <v>#NUM!</v>
      </c>
    </row>
    <row r="14" spans="1:38" x14ac:dyDescent="0.2">
      <c r="A14">
        <v>0</v>
      </c>
      <c r="B14">
        <v>2.13</v>
      </c>
      <c r="C14" t="s">
        <v>51</v>
      </c>
      <c r="D14" t="s">
        <v>44</v>
      </c>
      <c r="E14">
        <f>MEDIAN('L1'!E14,'L2'!E14,'L3'!E14,'L4'!E14,'L5'!E14)</f>
        <v>85.748613678373403</v>
      </c>
      <c r="F14">
        <f>MEDIAN('L1'!F14,'L2'!F14,'L3'!F14,'L4'!F14,'L5'!F14)</f>
        <v>1542</v>
      </c>
      <c r="G14">
        <f>MEDIAN('L1'!G14,'L2'!G14,'L3'!G14,'L4'!G14,'L5'!G14)</f>
        <v>85.908852802514403</v>
      </c>
      <c r="H14">
        <f>MEDIAN('L1'!H14,'L2'!H14,'L3'!H14,'L4'!H14,'L5'!H14)</f>
        <v>269</v>
      </c>
      <c r="I14">
        <f>MEDIAN('L1'!I14,'L2'!I14,'L3'!I14,'L4'!I14,'L5'!I14)</f>
        <v>14.251386321626599</v>
      </c>
      <c r="J14">
        <f>MEDIAN('L1'!J14,'L2'!J14,'L3'!J14,'L4'!J14,'L5'!J14)</f>
        <v>76.712904856128901</v>
      </c>
      <c r="K14">
        <f>MEDIAN('L1'!K14,'L2'!K14,'L3'!K14,'L4'!K14,'L5'!K14)</f>
        <v>85.748613678373403</v>
      </c>
      <c r="L14">
        <f>MEDIAN('L1'!L14,'L2'!L14,'L3'!L14,'L4'!L14,'L5'!L14)</f>
        <v>83.302310022581395</v>
      </c>
      <c r="M14">
        <f>MEDIAN('L1'!M14,'L2'!M14,'L3'!M14,'L4'!M14,'L5'!M14)</f>
        <v>53.8599782689775</v>
      </c>
      <c r="N14">
        <f>MEDIAN('L1'!N14,'L2'!N14,'L3'!N14,'L4'!N14,'L5'!N14)</f>
        <v>85.748613678373403</v>
      </c>
      <c r="O14">
        <f>MEDIAN('L1'!O14,'L2'!O14,'L3'!O14,'L4'!O14,'L5'!O14)</f>
        <v>85.748613678373403</v>
      </c>
      <c r="P14">
        <f>MEDIAN('L1'!P14,'L2'!P14,'L3'!P14,'L4'!P14,'L5'!P14)</f>
        <v>53.6084108146609</v>
      </c>
      <c r="Q14">
        <f>MEDIAN('L1'!Q14,'L2'!Q14,'L3'!Q14,'L4'!Q14,'L5'!Q14)</f>
        <v>85.748613678373403</v>
      </c>
      <c r="R14">
        <f>MEDIAN('L1'!R14,'L2'!R14,'L3'!R14,'L4'!R14,'L5'!R14)</f>
        <v>80.716669858938005</v>
      </c>
      <c r="S14">
        <f>MEDIAN('L1'!S14,'L2'!S14,'L3'!S14,'L4'!S14,'L5'!S14)</f>
        <v>14.091147197485601</v>
      </c>
      <c r="T14">
        <f>MEDIAN('L1'!T14,'L2'!T14,'L3'!T14,'L4'!T14,'L5'!T14)</f>
        <v>75.878867676102701</v>
      </c>
      <c r="U14">
        <f>MEDIAN('L1'!U14,'L2'!U14,'L3'!U14,'L4'!U14,'L5'!U14)</f>
        <v>85.908852802514403</v>
      </c>
      <c r="V14">
        <f>MEDIAN('L1'!V14,'L2'!V14,'L3'!V14,'L4'!V14,'L5'!V14)</f>
        <v>83.305819666449494</v>
      </c>
      <c r="W14">
        <f>MEDIAN('L1'!W14,'L2'!W14,'L3'!W14,'L4'!W14,'L5'!W14)</f>
        <v>54.001963974263099</v>
      </c>
      <c r="X14">
        <f>MEDIAN('L1'!X14,'L2'!X14,'L3'!X14,'L4'!X14,'L5'!X14)</f>
        <v>85.908852802514403</v>
      </c>
      <c r="Y14">
        <f>MEDIAN('L1'!Y14,'L2'!Y14,'L3'!Y14,'L4'!Y14,'L5'!Y14)</f>
        <v>85.908852802514403</v>
      </c>
      <c r="Z14">
        <f>MEDIAN('L1'!Z14,'L2'!Z14,'L3'!Z14,'L4'!Z14,'L5'!Z14)</f>
        <v>53.805851389399002</v>
      </c>
      <c r="AA14">
        <f>MEDIAN('L1'!AA14,'L2'!AA14,'L3'!AA14,'L4'!AA14,'L5'!AA14)</f>
        <v>85.908852802514403</v>
      </c>
      <c r="AB14">
        <f>MEDIAN('L1'!AB14,'L2'!AB14,'L3'!AB14,'L4'!AB14,'L5'!AB14)</f>
        <v>80.912434722154799</v>
      </c>
      <c r="AC14">
        <f>MEDIAN('L1'!AC14,'L2'!AC14,'L3'!AC14,'L4'!AC14,'L5'!AC14)</f>
        <v>6649.76124820726</v>
      </c>
      <c r="AD14">
        <f>MEDIAN('L1'!AD14,'L2'!AD14,'L3'!AD14,'L4'!AD14,'L5'!AD14)</f>
        <v>32.593406999999999</v>
      </c>
      <c r="AE14">
        <f>MEDIAN('L1'!AE14,'L2'!AE14,'L3'!AE14,'L4'!AE14,'L5'!AE14)</f>
        <v>1043722</v>
      </c>
      <c r="AF14">
        <f>MEDIAN('L1'!AF14,'L2'!AF14,'L3'!AF14,'L4'!AF14,'L5'!AF14)</f>
        <v>1043421</v>
      </c>
      <c r="AG14" t="e">
        <f>MEDIAN('L1'!AG14,'L2'!AG14,'L3'!AG14,'L4'!AG14,'L5'!AG14)</f>
        <v>#NUM!</v>
      </c>
    </row>
    <row r="15" spans="1:38" x14ac:dyDescent="0.2">
      <c r="A15">
        <v>0</v>
      </c>
      <c r="B15">
        <v>2.14</v>
      </c>
      <c r="C15" t="s">
        <v>51</v>
      </c>
      <c r="D15" t="s">
        <v>44</v>
      </c>
      <c r="E15">
        <f>MEDIAN('L1'!E15,'L2'!E15,'L3'!E15,'L4'!E15,'L5'!E15)</f>
        <v>85.101663585951897</v>
      </c>
      <c r="F15">
        <f>MEDIAN('L1'!F15,'L2'!F15,'L3'!F15,'L4'!F15,'L5'!F15)</f>
        <v>1612</v>
      </c>
      <c r="G15">
        <f>MEDIAN('L1'!G15,'L2'!G15,'L3'!G15,'L4'!G15,'L5'!G15)</f>
        <v>85.123101100052395</v>
      </c>
      <c r="H15">
        <f>MEDIAN('L1'!H15,'L2'!H15,'L3'!H15,'L4'!H15,'L5'!H15)</f>
        <v>284</v>
      </c>
      <c r="I15">
        <f>MEDIAN('L1'!I15,'L2'!I15,'L3'!I15,'L4'!I15,'L5'!I15)</f>
        <v>14.898336414048099</v>
      </c>
      <c r="J15" t="e">
        <f>MEDIAN('L1'!J15,'L2'!J15,'L3'!J15,'L4'!J15,'L5'!J15)</f>
        <v>#NUM!</v>
      </c>
      <c r="K15">
        <f>MEDIAN('L1'!K15,'L2'!K15,'L3'!K15,'L4'!K15,'L5'!K15)</f>
        <v>85.101663585951897</v>
      </c>
      <c r="L15" t="e">
        <f>MEDIAN('L1'!L15,'L2'!L15,'L3'!L15,'L4'!L15,'L5'!L15)</f>
        <v>#NUM!</v>
      </c>
      <c r="M15">
        <f>MEDIAN('L1'!M15,'L2'!M15,'L3'!M15,'L4'!M15,'L5'!M15)</f>
        <v>50</v>
      </c>
      <c r="N15">
        <f>MEDIAN('L1'!N15,'L2'!N15,'L3'!N15,'L4'!N15,'L5'!N15)</f>
        <v>85.101663585951897</v>
      </c>
      <c r="O15">
        <f>MEDIAN('L1'!O15,'L2'!O15,'L3'!O15,'L4'!O15,'L5'!O15)</f>
        <v>85.101663585951897</v>
      </c>
      <c r="P15">
        <f>MEDIAN('L1'!P15,'L2'!P15,'L3'!P15,'L4'!P15,'L5'!P15)</f>
        <v>45.975634112242901</v>
      </c>
      <c r="Q15">
        <f>MEDIAN('L1'!Q15,'L2'!Q15,'L3'!Q15,'L4'!Q15,'L5'!Q15)</f>
        <v>85.101663585951897</v>
      </c>
      <c r="R15">
        <f>MEDIAN('L1'!R15,'L2'!R15,'L3'!R15,'L4'!R15,'L5'!R15)</f>
        <v>78.252058947418206</v>
      </c>
      <c r="S15">
        <f>MEDIAN('L1'!S15,'L2'!S15,'L3'!S15,'L4'!S15,'L5'!S15)</f>
        <v>14.8768988999476</v>
      </c>
      <c r="T15" t="e">
        <f>MEDIAN('L1'!T15,'L2'!T15,'L3'!T15,'L4'!T15,'L5'!T15)</f>
        <v>#NUM!</v>
      </c>
      <c r="U15">
        <f>MEDIAN('L1'!U15,'L2'!U15,'L3'!U15,'L4'!U15,'L5'!U15)</f>
        <v>85.123101100052395</v>
      </c>
      <c r="V15" t="e">
        <f>MEDIAN('L1'!V15,'L2'!V15,'L3'!V15,'L4'!V15,'L5'!V15)</f>
        <v>#NUM!</v>
      </c>
      <c r="W15">
        <f>MEDIAN('L1'!W15,'L2'!W15,'L3'!W15,'L4'!W15,'L5'!W15)</f>
        <v>50</v>
      </c>
      <c r="X15">
        <f>MEDIAN('L1'!X15,'L2'!X15,'L3'!X15,'L4'!X15,'L5'!X15)</f>
        <v>85.123101100052395</v>
      </c>
      <c r="Y15">
        <f>MEDIAN('L1'!Y15,'L2'!Y15,'L3'!Y15,'L4'!Y15,'L5'!Y15)</f>
        <v>85.123101100052395</v>
      </c>
      <c r="Z15">
        <f>MEDIAN('L1'!Z15,'L2'!Z15,'L3'!Z15,'L4'!Z15,'L5'!Z15)</f>
        <v>45.9818902093945</v>
      </c>
      <c r="AA15">
        <f>MEDIAN('L1'!AA15,'L2'!AA15,'L3'!AA15,'L4'!AA15,'L5'!AA15)</f>
        <v>85.123101100052395</v>
      </c>
      <c r="AB15">
        <f>MEDIAN('L1'!AB15,'L2'!AB15,'L3'!AB15,'L4'!AB15,'L5'!AB15)</f>
        <v>78.282421781315904</v>
      </c>
      <c r="AC15">
        <f>MEDIAN('L1'!AC15,'L2'!AC15,'L3'!AC15,'L4'!AC15,'L5'!AC15)</f>
        <v>7747.45307850275</v>
      </c>
      <c r="AD15">
        <f>MEDIAN('L1'!AD15,'L2'!AD15,'L3'!AD15,'L4'!AD15,'L5'!AD15)</f>
        <v>31.761886000000001</v>
      </c>
      <c r="AE15">
        <f>MEDIAN('L1'!AE15,'L2'!AE15,'L3'!AE15,'L4'!AE15,'L5'!AE15)</f>
        <v>858962</v>
      </c>
      <c r="AF15">
        <f>MEDIAN('L1'!AF15,'L2'!AF15,'L3'!AF15,'L4'!AF15,'L5'!AF15)</f>
        <v>858661</v>
      </c>
      <c r="AG15" t="e">
        <f>MEDIAN('L1'!AG15,'L2'!AG15,'L3'!AG15,'L4'!AG15,'L5'!AG15)</f>
        <v>#NUM!</v>
      </c>
    </row>
    <row r="16" spans="1:38" x14ac:dyDescent="0.2">
      <c r="A16">
        <v>0</v>
      </c>
      <c r="B16">
        <v>2.15</v>
      </c>
      <c r="C16" t="s">
        <v>58</v>
      </c>
      <c r="D16" t="s">
        <v>44</v>
      </c>
      <c r="E16">
        <f>MEDIAN('L1'!E16,'L2'!E16,'L3'!E16,'L4'!E16,'L5'!E16)</f>
        <v>86.432532347504605</v>
      </c>
      <c r="F16">
        <f>MEDIAN('L1'!F16,'L2'!F16,'L3'!F16,'L4'!F16,'L5'!F16)</f>
        <v>1468</v>
      </c>
      <c r="G16">
        <f>MEDIAN('L1'!G16,'L2'!G16,'L3'!G16,'L4'!G16,'L5'!G16)</f>
        <v>86.904138292299606</v>
      </c>
      <c r="H16">
        <f>MEDIAN('L1'!H16,'L2'!H16,'L3'!H16,'L4'!H16,'L5'!H16)</f>
        <v>250</v>
      </c>
      <c r="I16">
        <f>MEDIAN('L1'!I16,'L2'!I16,'L3'!I16,'L4'!I16,'L5'!I16)</f>
        <v>13.567467652495401</v>
      </c>
      <c r="J16">
        <f>MEDIAN('L1'!J16,'L2'!J16,'L3'!J16,'L4'!J16,'L5'!J16)</f>
        <v>75.510745670963601</v>
      </c>
      <c r="K16">
        <f>MEDIAN('L1'!K16,'L2'!K16,'L3'!K16,'L4'!K16,'L5'!K16)</f>
        <v>86.432532347504605</v>
      </c>
      <c r="L16">
        <f>MEDIAN('L1'!L16,'L2'!L16,'L3'!L16,'L4'!L16,'L5'!L16)</f>
        <v>84.024897107232604</v>
      </c>
      <c r="M16">
        <f>MEDIAN('L1'!M16,'L2'!M16,'L3'!M16,'L4'!M16,'L5'!M16)</f>
        <v>59.507201096036901</v>
      </c>
      <c r="N16">
        <f>MEDIAN('L1'!N16,'L2'!N16,'L3'!N16,'L4'!N16,'L5'!N16)</f>
        <v>86.432532347504605</v>
      </c>
      <c r="O16">
        <f>MEDIAN('L1'!O16,'L2'!O16,'L3'!O16,'L4'!O16,'L5'!O16)</f>
        <v>86.432532347504605</v>
      </c>
      <c r="P16">
        <f>MEDIAN('L1'!P16,'L2'!P16,'L3'!P16,'L4'!P16,'L5'!P16)</f>
        <v>62.0944312527593</v>
      </c>
      <c r="Q16">
        <f>MEDIAN('L1'!Q16,'L2'!Q16,'L3'!Q16,'L4'!Q16,'L5'!Q16)</f>
        <v>86.432532347504605</v>
      </c>
      <c r="R16">
        <f>MEDIAN('L1'!R16,'L2'!R16,'L3'!R16,'L4'!R16,'L5'!R16)</f>
        <v>83.417639547532701</v>
      </c>
      <c r="S16">
        <f>MEDIAN('L1'!S16,'L2'!S16,'L3'!S16,'L4'!S16,'L5'!S16)</f>
        <v>13.095861707700401</v>
      </c>
      <c r="T16">
        <f>MEDIAN('L1'!T16,'L2'!T16,'L3'!T16,'L4'!T16,'L5'!T16)</f>
        <v>76.396577993545904</v>
      </c>
      <c r="U16">
        <f>MEDIAN('L1'!U16,'L2'!U16,'L3'!U16,'L4'!U16,'L5'!U16)</f>
        <v>86.904138292299606</v>
      </c>
      <c r="V16">
        <f>MEDIAN('L1'!V16,'L2'!V16,'L3'!V16,'L4'!V16,'L5'!V16)</f>
        <v>84.818955973598904</v>
      </c>
      <c r="W16">
        <f>MEDIAN('L1'!W16,'L2'!W16,'L3'!W16,'L4'!W16,'L5'!W16)</f>
        <v>60.763018657755502</v>
      </c>
      <c r="X16">
        <f>MEDIAN('L1'!X16,'L2'!X16,'L3'!X16,'L4'!X16,'L5'!X16)</f>
        <v>86.904138292299606</v>
      </c>
      <c r="Y16">
        <f>MEDIAN('L1'!Y16,'L2'!Y16,'L3'!Y16,'L4'!Y16,'L5'!Y16)</f>
        <v>86.904138292299606</v>
      </c>
      <c r="Z16">
        <f>MEDIAN('L1'!Z16,'L2'!Z16,'L3'!Z16,'L4'!Z16,'L5'!Z16)</f>
        <v>63.8826560292529</v>
      </c>
      <c r="AA16">
        <f>MEDIAN('L1'!AA16,'L2'!AA16,'L3'!AA16,'L4'!AA16,'L5'!AA16)</f>
        <v>86.904138292299606</v>
      </c>
      <c r="AB16">
        <f>MEDIAN('L1'!AB16,'L2'!AB16,'L3'!AB16,'L4'!AB16,'L5'!AB16)</f>
        <v>84.238038789555105</v>
      </c>
      <c r="AC16">
        <f>MEDIAN('L1'!AC16,'L2'!AC16,'L3'!AC16,'L4'!AC16,'L5'!AC16)</f>
        <v>16892.524823580799</v>
      </c>
      <c r="AD16">
        <f>MEDIAN('L1'!AD16,'L2'!AD16,'L3'!AD16,'L4'!AD16,'L5'!AD16)</f>
        <v>26.027075</v>
      </c>
      <c r="AE16">
        <f>MEDIAN('L1'!AE16,'L2'!AE16,'L3'!AE16,'L4'!AE16,'L5'!AE16)</f>
        <v>392225</v>
      </c>
      <c r="AF16">
        <f>MEDIAN('L1'!AF16,'L2'!AF16,'L3'!AF16,'L4'!AF16,'L5'!AF16)</f>
        <v>191646</v>
      </c>
      <c r="AG16" t="e">
        <f>MEDIAN('L1'!AG16,'L2'!AG16,'L3'!AG16,'L4'!AG16,'L5'!AG16)</f>
        <v>#NUM!</v>
      </c>
    </row>
    <row r="17" spans="1:33" x14ac:dyDescent="0.2">
      <c r="A17">
        <v>0</v>
      </c>
      <c r="B17">
        <v>2.16</v>
      </c>
      <c r="C17" t="s">
        <v>58</v>
      </c>
      <c r="D17" t="s">
        <v>44</v>
      </c>
      <c r="E17">
        <f>MEDIAN('L1'!E17,'L2'!E17,'L3'!E17,'L4'!E17,'L5'!E17)</f>
        <v>86.1656629135027</v>
      </c>
      <c r="F17">
        <f>MEDIAN('L1'!F17,'L2'!F17,'L3'!F17,'L4'!F17,'L5'!F17)</f>
        <v>1499</v>
      </c>
      <c r="G17">
        <f>MEDIAN('L1'!G17,'L2'!G17,'L3'!G17,'L4'!G17,'L5'!G17)</f>
        <v>85.613207547169793</v>
      </c>
      <c r="H17">
        <f>MEDIAN('L1'!H17,'L2'!H17,'L3'!H17,'L4'!H17,'L5'!H17)</f>
        <v>267</v>
      </c>
      <c r="I17">
        <f>MEDIAN('L1'!I17,'L2'!I17,'L3'!I17,'L4'!I17,'L5'!I17)</f>
        <v>13.8343370864973</v>
      </c>
      <c r="J17">
        <f>MEDIAN('L1'!J17,'L2'!J17,'L3'!J17,'L4'!J17,'L5'!J17)</f>
        <v>73.613764602419593</v>
      </c>
      <c r="K17">
        <f>MEDIAN('L1'!K17,'L2'!K17,'L3'!K17,'L4'!K17,'L5'!K17)</f>
        <v>86.1656629135027</v>
      </c>
      <c r="L17">
        <f>MEDIAN('L1'!L17,'L2'!L17,'L3'!L17,'L4'!L17,'L5'!L17)</f>
        <v>83.541478056647193</v>
      </c>
      <c r="M17">
        <f>MEDIAN('L1'!M17,'L2'!M17,'L3'!M17,'L4'!M17,'L5'!M17)</f>
        <v>59.929104115687402</v>
      </c>
      <c r="N17">
        <f>MEDIAN('L1'!N17,'L2'!N17,'L3'!N17,'L4'!N17,'L5'!N17)</f>
        <v>86.1656629135027</v>
      </c>
      <c r="O17">
        <f>MEDIAN('L1'!O17,'L2'!O17,'L3'!O17,'L4'!O17,'L5'!O17)</f>
        <v>86.1656629135027</v>
      </c>
      <c r="P17">
        <f>MEDIAN('L1'!P17,'L2'!P17,'L3'!P17,'L4'!P17,'L5'!P17)</f>
        <v>62.484043636270101</v>
      </c>
      <c r="Q17">
        <f>MEDIAN('L1'!Q17,'L2'!Q17,'L3'!Q17,'L4'!Q17,'L5'!Q17)</f>
        <v>86.1656629135027</v>
      </c>
      <c r="R17">
        <f>MEDIAN('L1'!R17,'L2'!R17,'L3'!R17,'L4'!R17,'L5'!R17)</f>
        <v>83.406159436653198</v>
      </c>
      <c r="S17">
        <f>MEDIAN('L1'!S17,'L2'!S17,'L3'!S17,'L4'!S17,'L5'!S17)</f>
        <v>14.3867924528302</v>
      </c>
      <c r="T17">
        <f>MEDIAN('L1'!T17,'L2'!T17,'L3'!T17,'L4'!T17,'L5'!T17)</f>
        <v>70.808329197310798</v>
      </c>
      <c r="U17">
        <f>MEDIAN('L1'!U17,'L2'!U17,'L3'!U17,'L4'!U17,'L5'!U17)</f>
        <v>85.613207547169793</v>
      </c>
      <c r="V17">
        <f>MEDIAN('L1'!V17,'L2'!V17,'L3'!V17,'L4'!V17,'L5'!V17)</f>
        <v>82.583739557429993</v>
      </c>
      <c r="W17">
        <f>MEDIAN('L1'!W17,'L2'!W17,'L3'!W17,'L4'!W17,'L5'!W17)</f>
        <v>59.9188515709643</v>
      </c>
      <c r="X17">
        <f>MEDIAN('L1'!X17,'L2'!X17,'L3'!X17,'L4'!X17,'L5'!X17)</f>
        <v>85.613207547169793</v>
      </c>
      <c r="Y17">
        <f>MEDIAN('L1'!Y17,'L2'!Y17,'L3'!Y17,'L4'!Y17,'L5'!Y17)</f>
        <v>85.613207547169793</v>
      </c>
      <c r="Z17">
        <f>MEDIAN('L1'!Z17,'L2'!Z17,'L3'!Z17,'L4'!Z17,'L5'!Z17)</f>
        <v>62.181102451983598</v>
      </c>
      <c r="AA17">
        <f>MEDIAN('L1'!AA17,'L2'!AA17,'L3'!AA17,'L4'!AA17,'L5'!AA17)</f>
        <v>85.613207547169793</v>
      </c>
      <c r="AB17">
        <f>MEDIAN('L1'!AB17,'L2'!AB17,'L3'!AB17,'L4'!AB17,'L5'!AB17)</f>
        <v>83.013899646546605</v>
      </c>
      <c r="AC17">
        <f>MEDIAN('L1'!AC17,'L2'!AC17,'L3'!AC17,'L4'!AC17,'L5'!AC17)</f>
        <v>14352.854719131101</v>
      </c>
      <c r="AD17">
        <f>MEDIAN('L1'!AD17,'L2'!AD17,'L3'!AD17,'L4'!AD17,'L5'!AD17)</f>
        <v>54.492843000000001</v>
      </c>
      <c r="AE17">
        <f>MEDIAN('L1'!AE17,'L2'!AE17,'L3'!AE17,'L4'!AE17,'L5'!AE17)</f>
        <v>5526377</v>
      </c>
      <c r="AF17">
        <f>MEDIAN('L1'!AF17,'L2'!AF17,'L3'!AF17,'L4'!AF17,'L5'!AF17)</f>
        <v>4063402</v>
      </c>
      <c r="AG17" t="e">
        <f>MEDIAN('L1'!AG17,'L2'!AG17,'L3'!AG17,'L4'!AG17,'L5'!AG17)</f>
        <v>#NUM!</v>
      </c>
    </row>
    <row r="18" spans="1:33" x14ac:dyDescent="0.2">
      <c r="A18">
        <v>0</v>
      </c>
      <c r="B18">
        <v>2.17</v>
      </c>
      <c r="C18" t="s">
        <v>58</v>
      </c>
      <c r="D18" t="s">
        <v>44</v>
      </c>
      <c r="E18">
        <f>MEDIAN('L1'!E18,'L2'!E18,'L3'!E18,'L4'!E18,'L5'!E18)</f>
        <v>72.800369685767095</v>
      </c>
      <c r="F18">
        <f>MEDIAN('L1'!F18,'L2'!F18,'L3'!F18,'L4'!F18,'L5'!F18)</f>
        <v>2943</v>
      </c>
      <c r="G18">
        <f>MEDIAN('L1'!G18,'L2'!G18,'L3'!G18,'L4'!G18,'L5'!G18)</f>
        <v>72.812991094813995</v>
      </c>
      <c r="H18">
        <f>MEDIAN('L1'!H18,'L2'!H18,'L3'!H18,'L4'!H18,'L5'!H18)</f>
        <v>519</v>
      </c>
      <c r="I18">
        <f>MEDIAN('L1'!I18,'L2'!I18,'L3'!I18,'L4'!I18,'L5'!I18)</f>
        <v>27.199630314232898</v>
      </c>
      <c r="J18">
        <f>MEDIAN('L1'!J18,'L2'!J18,'L3'!J18,'L4'!J18,'L5'!J18)</f>
        <v>63.910455590038701</v>
      </c>
      <c r="K18">
        <f>MEDIAN('L1'!K18,'L2'!K18,'L3'!K18,'L4'!K18,'L5'!K18)</f>
        <v>72.800369685767095</v>
      </c>
      <c r="L18">
        <f>MEDIAN('L1'!L18,'L2'!L18,'L3'!L18,'L4'!L18,'L5'!L18)</f>
        <v>85.7641084933244</v>
      </c>
      <c r="M18">
        <f>MEDIAN('L1'!M18,'L2'!M18,'L3'!M18,'L4'!M18,'L5'!M18)</f>
        <v>75.191709442431105</v>
      </c>
      <c r="N18">
        <f>MEDIAN('L1'!N18,'L2'!N18,'L3'!N18,'L4'!N18,'L5'!N18)</f>
        <v>72.800369685767095</v>
      </c>
      <c r="O18">
        <f>MEDIAN('L1'!O18,'L2'!O18,'L3'!O18,'L4'!O18,'L5'!O18)</f>
        <v>72.800369685767095</v>
      </c>
      <c r="P18">
        <f>MEDIAN('L1'!P18,'L2'!P18,'L3'!P18,'L4'!P18,'L5'!P18)</f>
        <v>64.028975354022705</v>
      </c>
      <c r="Q18">
        <f>MEDIAN('L1'!Q18,'L2'!Q18,'L3'!Q18,'L4'!Q18,'L5'!Q18)</f>
        <v>72.800369685767095</v>
      </c>
      <c r="R18">
        <f>MEDIAN('L1'!R18,'L2'!R18,'L3'!R18,'L4'!R18,'L5'!R18)</f>
        <v>76.499031753785104</v>
      </c>
      <c r="S18">
        <f>MEDIAN('L1'!S18,'L2'!S18,'L3'!S18,'L4'!S18,'L5'!S18)</f>
        <v>27.187008905186001</v>
      </c>
      <c r="T18">
        <f>MEDIAN('L1'!T18,'L2'!T18,'L3'!T18,'L4'!T18,'L5'!T18)</f>
        <v>64.384550004498294</v>
      </c>
      <c r="U18">
        <f>MEDIAN('L1'!U18,'L2'!U18,'L3'!U18,'L4'!U18,'L5'!U18)</f>
        <v>72.812991094813995</v>
      </c>
      <c r="V18">
        <f>MEDIAN('L1'!V18,'L2'!V18,'L3'!V18,'L4'!V18,'L5'!V18)</f>
        <v>85.706960477590897</v>
      </c>
      <c r="W18">
        <f>MEDIAN('L1'!W18,'L2'!W18,'L3'!W18,'L4'!W18,'L5'!W18)</f>
        <v>75.368364030335897</v>
      </c>
      <c r="X18">
        <f>MEDIAN('L1'!X18,'L2'!X18,'L3'!X18,'L4'!X18,'L5'!X18)</f>
        <v>72.812991094813995</v>
      </c>
      <c r="Y18">
        <f>MEDIAN('L1'!Y18,'L2'!Y18,'L3'!Y18,'L4'!Y18,'L5'!Y18)</f>
        <v>72.812991094813995</v>
      </c>
      <c r="Z18">
        <f>MEDIAN('L1'!Z18,'L2'!Z18,'L3'!Z18,'L4'!Z18,'L5'!Z18)</f>
        <v>64.400414358536594</v>
      </c>
      <c r="AA18">
        <f>MEDIAN('L1'!AA18,'L2'!AA18,'L3'!AA18,'L4'!AA18,'L5'!AA18)</f>
        <v>72.812991094813995</v>
      </c>
      <c r="AB18">
        <f>MEDIAN('L1'!AB18,'L2'!AB18,'L3'!AB18,'L4'!AB18,'L5'!AB18)</f>
        <v>76.556950353523703</v>
      </c>
      <c r="AC18">
        <f>MEDIAN('L1'!AC18,'L2'!AC18,'L3'!AC18,'L4'!AC18,'L5'!AC18)</f>
        <v>24019.250919036</v>
      </c>
      <c r="AD18">
        <f>MEDIAN('L1'!AD18,'L2'!AD18,'L3'!AD18,'L4'!AD18,'L5'!AD18)</f>
        <v>23.847728</v>
      </c>
      <c r="AE18">
        <f>MEDIAN('L1'!AE18,'L2'!AE18,'L3'!AE18,'L4'!AE18,'L5'!AE18)</f>
        <v>370037</v>
      </c>
      <c r="AF18">
        <f>MEDIAN('L1'!AF18,'L2'!AF18,'L3'!AF18,'L4'!AF18,'L5'!AF18)</f>
        <v>172306</v>
      </c>
      <c r="AG18" t="e">
        <f>MEDIAN('L1'!AG18,'L2'!AG18,'L3'!AG18,'L4'!AG18,'L5'!AG18)</f>
        <v>#NUM!</v>
      </c>
    </row>
    <row r="19" spans="1:33" x14ac:dyDescent="0.2">
      <c r="A19">
        <v>0</v>
      </c>
      <c r="B19">
        <v>2.1800000000000002</v>
      </c>
      <c r="C19" t="s">
        <v>62</v>
      </c>
      <c r="D19" t="s">
        <v>44</v>
      </c>
      <c r="E19">
        <f>MEDIAN('L1'!E19,'L2'!E19,'L3'!E19,'L4'!E19,'L5'!E19)</f>
        <v>84.815157116451005</v>
      </c>
      <c r="F19">
        <f>MEDIAN('L1'!F19,'L2'!F19,'L3'!F19,'L4'!F19,'L5'!F19)</f>
        <v>1643</v>
      </c>
      <c r="G19">
        <f>MEDIAN('L1'!G19,'L2'!G19,'L3'!G19,'L4'!G19,'L5'!G19)</f>
        <v>85.594552121529603</v>
      </c>
      <c r="H19">
        <f>MEDIAN('L1'!H19,'L2'!H19,'L3'!H19,'L4'!H19,'L5'!H19)</f>
        <v>275</v>
      </c>
      <c r="I19">
        <f>MEDIAN('L1'!I19,'L2'!I19,'L3'!I19,'L4'!I19,'L5'!I19)</f>
        <v>15.184842883549001</v>
      </c>
      <c r="J19">
        <f>MEDIAN('L1'!J19,'L2'!J19,'L3'!J19,'L4'!J19,'L5'!J19)</f>
        <v>68.206786849172005</v>
      </c>
      <c r="K19">
        <f>MEDIAN('L1'!K19,'L2'!K19,'L3'!K19,'L4'!K19,'L5'!K19)</f>
        <v>84.815157116451005</v>
      </c>
      <c r="L19">
        <f>MEDIAN('L1'!L19,'L2'!L19,'L3'!L19,'L4'!L19,'L5'!L19)</f>
        <v>82.196272383686406</v>
      </c>
      <c r="M19">
        <f>MEDIAN('L1'!M19,'L2'!M19,'L3'!M19,'L4'!M19,'L5'!M19)</f>
        <v>60.962147490692097</v>
      </c>
      <c r="N19">
        <f>MEDIAN('L1'!N19,'L2'!N19,'L3'!N19,'L4'!N19,'L5'!N19)</f>
        <v>84.815157116451005</v>
      </c>
      <c r="O19">
        <f>MEDIAN('L1'!O19,'L2'!O19,'L3'!O19,'L4'!O19,'L5'!O19)</f>
        <v>84.815157116451005</v>
      </c>
      <c r="P19">
        <f>MEDIAN('L1'!P19,'L2'!P19,'L3'!P19,'L4'!P19,'L5'!P19)</f>
        <v>63.015012373260298</v>
      </c>
      <c r="Q19">
        <f>MEDIAN('L1'!Q19,'L2'!Q19,'L3'!Q19,'L4'!Q19,'L5'!Q19)</f>
        <v>84.815157116451005</v>
      </c>
      <c r="R19">
        <f>MEDIAN('L1'!R19,'L2'!R19,'L3'!R19,'L4'!R19,'L5'!R19)</f>
        <v>82.949272571800904</v>
      </c>
      <c r="S19">
        <f>MEDIAN('L1'!S19,'L2'!S19,'L3'!S19,'L4'!S19,'L5'!S19)</f>
        <v>14.405447878470399</v>
      </c>
      <c r="T19">
        <f>MEDIAN('L1'!T19,'L2'!T19,'L3'!T19,'L4'!T19,'L5'!T19)</f>
        <v>70.696819649245299</v>
      </c>
      <c r="U19">
        <f>MEDIAN('L1'!U19,'L2'!U19,'L3'!U19,'L4'!U19,'L5'!U19)</f>
        <v>85.594552121529603</v>
      </c>
      <c r="V19">
        <f>MEDIAN('L1'!V19,'L2'!V19,'L3'!V19,'L4'!V19,'L5'!V19)</f>
        <v>83.222123251335105</v>
      </c>
      <c r="W19">
        <f>MEDIAN('L1'!W19,'L2'!W19,'L3'!W19,'L4'!W19,'L5'!W19)</f>
        <v>62.260563380281702</v>
      </c>
      <c r="X19">
        <f>MEDIAN('L1'!X19,'L2'!X19,'L3'!X19,'L4'!X19,'L5'!X19)</f>
        <v>85.594552121529603</v>
      </c>
      <c r="Y19">
        <f>MEDIAN('L1'!Y19,'L2'!Y19,'L3'!Y19,'L4'!Y19,'L5'!Y19)</f>
        <v>85.594552121529603</v>
      </c>
      <c r="Z19">
        <f>MEDIAN('L1'!Z19,'L2'!Z19,'L3'!Z19,'L4'!Z19,'L5'!Z19)</f>
        <v>64.749200440219496</v>
      </c>
      <c r="AA19">
        <f>MEDIAN('L1'!AA19,'L2'!AA19,'L3'!AA19,'L4'!AA19,'L5'!AA19)</f>
        <v>85.594552121529603</v>
      </c>
      <c r="AB19">
        <f>MEDIAN('L1'!AB19,'L2'!AB19,'L3'!AB19,'L4'!AB19,'L5'!AB19)</f>
        <v>83.791173604141093</v>
      </c>
      <c r="AC19">
        <f>MEDIAN('L1'!AC19,'L2'!AC19,'L3'!AC19,'L4'!AC19,'L5'!AC19)</f>
        <v>82928.399527875299</v>
      </c>
      <c r="AD19">
        <f>MEDIAN('L1'!AD19,'L2'!AD19,'L3'!AD19,'L4'!AD19,'L5'!AD19)</f>
        <v>46.935439000000002</v>
      </c>
      <c r="AE19">
        <f>MEDIAN('L1'!AE19,'L2'!AE19,'L3'!AE19,'L4'!AE19,'L5'!AE19)</f>
        <v>12295</v>
      </c>
      <c r="AF19">
        <f>MEDIAN('L1'!AF19,'L2'!AF19,'L3'!AF19,'L4'!AF19,'L5'!AF19)</f>
        <v>11529</v>
      </c>
      <c r="AG19" t="e">
        <f>MEDIAN('L1'!AG19,'L2'!AG19,'L3'!AG19,'L4'!AG19,'L5'!AG19)</f>
        <v>#NUM!</v>
      </c>
    </row>
    <row r="20" spans="1:33" x14ac:dyDescent="0.2">
      <c r="A20">
        <v>0</v>
      </c>
      <c r="B20">
        <v>2.19</v>
      </c>
      <c r="C20" t="s">
        <v>62</v>
      </c>
      <c r="D20" t="s">
        <v>44</v>
      </c>
      <c r="E20">
        <f>MEDIAN('L1'!E20,'L2'!E20,'L3'!E20,'L4'!E20,'L5'!E20)</f>
        <v>82.707948243992604</v>
      </c>
      <c r="F20">
        <f>MEDIAN('L1'!F20,'L2'!F20,'L3'!F20,'L4'!F20,'L5'!F20)</f>
        <v>1878</v>
      </c>
      <c r="G20">
        <f>MEDIAN('L1'!G20,'L2'!G20,'L3'!G20,'L4'!G20,'L5'!G20)</f>
        <v>82.922996333158693</v>
      </c>
      <c r="H20">
        <f>MEDIAN('L1'!H20,'L2'!H20,'L3'!H20,'L4'!H20,'L5'!H20)</f>
        <v>326</v>
      </c>
      <c r="I20">
        <f>MEDIAN('L1'!I20,'L2'!I20,'L3'!I20,'L4'!I20,'L5'!I20)</f>
        <v>17.2920517560074</v>
      </c>
      <c r="J20">
        <f>MEDIAN('L1'!J20,'L2'!J20,'L3'!J20,'L4'!J20,'L5'!J20)</f>
        <v>63.828380355276899</v>
      </c>
      <c r="K20">
        <f>MEDIAN('L1'!K20,'L2'!K20,'L3'!K20,'L4'!K20,'L5'!K20)</f>
        <v>82.707948243992604</v>
      </c>
      <c r="L20">
        <f>MEDIAN('L1'!L20,'L2'!L20,'L3'!L20,'L4'!L20,'L5'!L20)</f>
        <v>81.005997469757801</v>
      </c>
      <c r="M20">
        <f>MEDIAN('L1'!M20,'L2'!M20,'L3'!M20,'L4'!M20,'L5'!M20)</f>
        <v>61.144559806662897</v>
      </c>
      <c r="N20">
        <f>MEDIAN('L1'!N20,'L2'!N20,'L3'!N20,'L4'!N20,'L5'!N20)</f>
        <v>82.707948243992604</v>
      </c>
      <c r="O20">
        <f>MEDIAN('L1'!O20,'L2'!O20,'L3'!O20,'L4'!O20,'L5'!O20)</f>
        <v>82.707948243992604</v>
      </c>
      <c r="P20">
        <f>MEDIAN('L1'!P20,'L2'!P20,'L3'!P20,'L4'!P20,'L5'!P20)</f>
        <v>62.190243143265199</v>
      </c>
      <c r="Q20">
        <f>MEDIAN('L1'!Q20,'L2'!Q20,'L3'!Q20,'L4'!Q20,'L5'!Q20)</f>
        <v>82.707948243992604</v>
      </c>
      <c r="R20">
        <f>MEDIAN('L1'!R20,'L2'!R20,'L3'!R20,'L4'!R20,'L5'!R20)</f>
        <v>81.712870016213401</v>
      </c>
      <c r="S20">
        <f>MEDIAN('L1'!S20,'L2'!S20,'L3'!S20,'L4'!S20,'L5'!S20)</f>
        <v>17.0770036668413</v>
      </c>
      <c r="T20">
        <f>MEDIAN('L1'!T20,'L2'!T20,'L3'!T20,'L4'!T20,'L5'!T20)</f>
        <v>64.320814464789606</v>
      </c>
      <c r="U20">
        <f>MEDIAN('L1'!U20,'L2'!U20,'L3'!U20,'L4'!U20,'L5'!U20)</f>
        <v>82.922996333158693</v>
      </c>
      <c r="V20">
        <f>MEDIAN('L1'!V20,'L2'!V20,'L3'!V20,'L4'!V20,'L5'!V20)</f>
        <v>81.210134630993394</v>
      </c>
      <c r="W20">
        <f>MEDIAN('L1'!W20,'L2'!W20,'L3'!W20,'L4'!W20,'L5'!W20)</f>
        <v>61.347670639219899</v>
      </c>
      <c r="X20">
        <f>MEDIAN('L1'!X20,'L2'!X20,'L3'!X20,'L4'!X20,'L5'!X20)</f>
        <v>82.922996333158693</v>
      </c>
      <c r="Y20">
        <f>MEDIAN('L1'!Y20,'L2'!Y20,'L3'!Y20,'L4'!Y20,'L5'!Y20)</f>
        <v>82.922996333158693</v>
      </c>
      <c r="Z20">
        <f>MEDIAN('L1'!Z20,'L2'!Z20,'L3'!Z20,'L4'!Z20,'L5'!Z20)</f>
        <v>62.487402049427402</v>
      </c>
      <c r="AA20">
        <f>MEDIAN('L1'!AA20,'L2'!AA20,'L3'!AA20,'L4'!AA20,'L5'!AA20)</f>
        <v>82.922996333158693</v>
      </c>
      <c r="AB20">
        <f>MEDIAN('L1'!AB20,'L2'!AB20,'L3'!AB20,'L4'!AB20,'L5'!AB20)</f>
        <v>81.936750477024106</v>
      </c>
      <c r="AC20">
        <f>MEDIAN('L1'!AC20,'L2'!AC20,'L3'!AC20,'L4'!AC20,'L5'!AC20)</f>
        <v>87066.548115723897</v>
      </c>
      <c r="AD20">
        <f>MEDIAN('L1'!AD20,'L2'!AD20,'L3'!AD20,'L4'!AD20,'L5'!AD20)</f>
        <v>70.143151000000003</v>
      </c>
      <c r="AE20">
        <f>MEDIAN('L1'!AE20,'L2'!AE20,'L3'!AE20,'L4'!AE20,'L5'!AE20)</f>
        <v>16135</v>
      </c>
      <c r="AF20">
        <f>MEDIAN('L1'!AF20,'L2'!AF20,'L3'!AF20,'L4'!AF20,'L5'!AF20)</f>
        <v>15369</v>
      </c>
      <c r="AG20" t="e">
        <f>MEDIAN('L1'!AG20,'L2'!AG20,'L3'!AG20,'L4'!AG20,'L5'!AG20)</f>
        <v>#NUM!</v>
      </c>
    </row>
    <row r="21" spans="1:33" x14ac:dyDescent="0.2">
      <c r="A21">
        <v>0</v>
      </c>
      <c r="B21">
        <v>2.2000000000000002</v>
      </c>
      <c r="C21" t="s">
        <v>45</v>
      </c>
      <c r="D21" t="s">
        <v>44</v>
      </c>
      <c r="E21">
        <f>MEDIAN('L1'!E21,'L2'!E21,'L3'!E21,'L4'!E21,'L5'!E21)</f>
        <v>85.600739371534203</v>
      </c>
      <c r="F21">
        <f>MEDIAN('L1'!F21,'L2'!F21,'L3'!F21,'L4'!F21,'L5'!F21)</f>
        <v>1558</v>
      </c>
      <c r="G21">
        <f>MEDIAN('L1'!G21,'L2'!G21,'L3'!G21,'L4'!G21,'L5'!G21)</f>
        <v>85.8564693556836</v>
      </c>
      <c r="H21">
        <f>MEDIAN('L1'!H21,'L2'!H21,'L3'!H21,'L4'!H21,'L5'!H21)</f>
        <v>270</v>
      </c>
      <c r="I21">
        <f>MEDIAN('L1'!I21,'L2'!I21,'L3'!I21,'L4'!I21,'L5'!I21)</f>
        <v>14.3992606284658</v>
      </c>
      <c r="J21">
        <f>MEDIAN('L1'!J21,'L2'!J21,'L3'!J21,'L4'!J21,'L5'!J21)</f>
        <v>71.031167227708906</v>
      </c>
      <c r="K21">
        <f>MEDIAN('L1'!K21,'L2'!K21,'L3'!K21,'L4'!K21,'L5'!K21)</f>
        <v>85.600739371534203</v>
      </c>
      <c r="L21">
        <f>MEDIAN('L1'!L21,'L2'!L21,'L3'!L21,'L4'!L21,'L5'!L21)</f>
        <v>82.422359772346098</v>
      </c>
      <c r="M21">
        <f>MEDIAN('L1'!M21,'L2'!M21,'L3'!M21,'L4'!M21,'L5'!M21)</f>
        <v>58.021121889841503</v>
      </c>
      <c r="N21">
        <f>MEDIAN('L1'!N21,'L2'!N21,'L3'!N21,'L4'!N21,'L5'!N21)</f>
        <v>85.600739371534203</v>
      </c>
      <c r="O21">
        <f>MEDIAN('L1'!O21,'L2'!O21,'L3'!O21,'L4'!O21,'L5'!O21)</f>
        <v>85.600739371534203</v>
      </c>
      <c r="P21">
        <f>MEDIAN('L1'!P21,'L2'!P21,'L3'!P21,'L4'!P21,'L5'!P21)</f>
        <v>59.969163720752697</v>
      </c>
      <c r="Q21">
        <f>MEDIAN('L1'!Q21,'L2'!Q21,'L3'!Q21,'L4'!Q21,'L5'!Q21)</f>
        <v>85.600739371534203</v>
      </c>
      <c r="R21">
        <f>MEDIAN('L1'!R21,'L2'!R21,'L3'!R21,'L4'!R21,'L5'!R21)</f>
        <v>82.462662426532106</v>
      </c>
      <c r="S21">
        <f>MEDIAN('L1'!S21,'L2'!S21,'L3'!S21,'L4'!S21,'L5'!S21)</f>
        <v>14.1435306443164</v>
      </c>
      <c r="T21">
        <f>MEDIAN('L1'!T21,'L2'!T21,'L3'!T21,'L4'!T21,'L5'!T21)</f>
        <v>72.129319955406899</v>
      </c>
      <c r="U21">
        <f>MEDIAN('L1'!U21,'L2'!U21,'L3'!U21,'L4'!U21,'L5'!U21)</f>
        <v>85.8564693556836</v>
      </c>
      <c r="V21">
        <f>MEDIAN('L1'!V21,'L2'!V21,'L3'!V21,'L4'!V21,'L5'!V21)</f>
        <v>82.833112467460793</v>
      </c>
      <c r="W21">
        <f>MEDIAN('L1'!W21,'L2'!W21,'L3'!W21,'L4'!W21,'L5'!W21)</f>
        <v>58.175406283857001</v>
      </c>
      <c r="X21">
        <f>MEDIAN('L1'!X21,'L2'!X21,'L3'!X21,'L4'!X21,'L5'!X21)</f>
        <v>85.8564693556836</v>
      </c>
      <c r="Y21">
        <f>MEDIAN('L1'!Y21,'L2'!Y21,'L3'!Y21,'L4'!Y21,'L5'!Y21)</f>
        <v>85.8564693556836</v>
      </c>
      <c r="Z21">
        <f>MEDIAN('L1'!Z21,'L2'!Z21,'L3'!Z21,'L4'!Z21,'L5'!Z21)</f>
        <v>60.122779597848002</v>
      </c>
      <c r="AA21">
        <f>MEDIAN('L1'!AA21,'L2'!AA21,'L3'!AA21,'L4'!AA21,'L5'!AA21)</f>
        <v>85.8564693556836</v>
      </c>
      <c r="AB21">
        <f>MEDIAN('L1'!AB21,'L2'!AB21,'L3'!AB21,'L4'!AB21,'L5'!AB21)</f>
        <v>82.441588504920105</v>
      </c>
      <c r="AC21">
        <f>MEDIAN('L1'!AC21,'L2'!AC21,'L3'!AC21,'L4'!AC21,'L5'!AC21)</f>
        <v>410688.52956805599</v>
      </c>
      <c r="AD21">
        <f>MEDIAN('L1'!AD21,'L2'!AD21,'L3'!AD21,'L4'!AD21,'L5'!AD21)</f>
        <v>0.78720800000000002</v>
      </c>
      <c r="AE21">
        <f>MEDIAN('L1'!AE21,'L2'!AE21,'L3'!AE21,'L4'!AE21,'L5'!AE21)</f>
        <v>12374</v>
      </c>
      <c r="AF21">
        <f>MEDIAN('L1'!AF21,'L2'!AF21,'L3'!AF21,'L4'!AF21,'L5'!AF21)</f>
        <v>9241</v>
      </c>
      <c r="AG21" t="e">
        <f>MEDIAN('L1'!AG21,'L2'!AG21,'L3'!AG21,'L4'!AG21,'L5'!AG21)</f>
        <v>#NUM!</v>
      </c>
    </row>
    <row r="22" spans="1:33" x14ac:dyDescent="0.2">
      <c r="A22">
        <v>0</v>
      </c>
      <c r="B22">
        <v>2.2000000000000002</v>
      </c>
      <c r="C22" t="s">
        <v>62</v>
      </c>
      <c r="D22" t="s">
        <v>44</v>
      </c>
      <c r="E22">
        <f>MEDIAN('L1'!E22,'L2'!E22,'L3'!E22,'L4'!E22,'L5'!E22)</f>
        <v>79.676524953789297</v>
      </c>
      <c r="F22">
        <f>MEDIAN('L1'!F22,'L2'!F22,'L3'!F22,'L4'!F22,'L5'!F22)</f>
        <v>2199</v>
      </c>
      <c r="G22">
        <f>MEDIAN('L1'!G22,'L2'!G22,'L3'!G22,'L4'!G22,'L5'!G22)</f>
        <v>79.256155055002594</v>
      </c>
      <c r="H22">
        <f>MEDIAN('L1'!H22,'L2'!H22,'L3'!H22,'L4'!H22,'L5'!H22)</f>
        <v>396</v>
      </c>
      <c r="I22">
        <f>MEDIAN('L1'!I22,'L2'!I22,'L3'!I22,'L4'!I22,'L5'!I22)</f>
        <v>20.323475046210699</v>
      </c>
      <c r="J22">
        <f>MEDIAN('L1'!J22,'L2'!J22,'L3'!J22,'L4'!J22,'L5'!J22)</f>
        <v>60.338138962162198</v>
      </c>
      <c r="K22">
        <f>MEDIAN('L1'!K22,'L2'!K22,'L3'!K22,'L4'!K22,'L5'!K22)</f>
        <v>79.676524953789297</v>
      </c>
      <c r="L22">
        <f>MEDIAN('L1'!L22,'L2'!L22,'L3'!L22,'L4'!L22,'L5'!L22)</f>
        <v>79.901398921157195</v>
      </c>
      <c r="M22">
        <f>MEDIAN('L1'!M22,'L2'!M22,'L3'!M22,'L4'!M22,'L5'!M22)</f>
        <v>60.361485750873697</v>
      </c>
      <c r="N22">
        <f>MEDIAN('L1'!N22,'L2'!N22,'L3'!N22,'L4'!N22,'L5'!N22)</f>
        <v>79.676524953789297</v>
      </c>
      <c r="O22">
        <f>MEDIAN('L1'!O22,'L2'!O22,'L3'!O22,'L4'!O22,'L5'!O22)</f>
        <v>79.676524953789297</v>
      </c>
      <c r="P22">
        <f>MEDIAN('L1'!P22,'L2'!P22,'L3'!P22,'L4'!P22,'L5'!P22)</f>
        <v>60.369439525102003</v>
      </c>
      <c r="Q22">
        <f>MEDIAN('L1'!Q22,'L2'!Q22,'L3'!Q22,'L4'!Q22,'L5'!Q22)</f>
        <v>79.676524953789297</v>
      </c>
      <c r="R22">
        <f>MEDIAN('L1'!R22,'L2'!R22,'L3'!R22,'L4'!R22,'L5'!R22)</f>
        <v>79.766903418304807</v>
      </c>
      <c r="S22">
        <f>MEDIAN('L1'!S22,'L2'!S22,'L3'!S22,'L4'!S22,'L5'!S22)</f>
        <v>20.743844944997399</v>
      </c>
      <c r="T22">
        <f>MEDIAN('L1'!T22,'L2'!T22,'L3'!T22,'L4'!T22,'L5'!T22)</f>
        <v>60.742882735522102</v>
      </c>
      <c r="U22">
        <f>MEDIAN('L1'!U22,'L2'!U22,'L3'!U22,'L4'!U22,'L5'!U22)</f>
        <v>79.256155055002594</v>
      </c>
      <c r="V22">
        <f>MEDIAN('L1'!V22,'L2'!V22,'L3'!V22,'L4'!V22,'L5'!V22)</f>
        <v>80.254190783267703</v>
      </c>
      <c r="W22">
        <f>MEDIAN('L1'!W22,'L2'!W22,'L3'!W22,'L4'!W22,'L5'!W22)</f>
        <v>61.303150116670999</v>
      </c>
      <c r="X22">
        <f>MEDIAN('L1'!X22,'L2'!X22,'L3'!X22,'L4'!X22,'L5'!X22)</f>
        <v>79.256155055002594</v>
      </c>
      <c r="Y22">
        <f>MEDIAN('L1'!Y22,'L2'!Y22,'L3'!Y22,'L4'!Y22,'L5'!Y22)</f>
        <v>79.256155055002594</v>
      </c>
      <c r="Z22">
        <f>MEDIAN('L1'!Z22,'L2'!Z22,'L3'!Z22,'L4'!Z22,'L5'!Z22)</f>
        <v>61.1236153404828</v>
      </c>
      <c r="AA22">
        <f>MEDIAN('L1'!AA22,'L2'!AA22,'L3'!AA22,'L4'!AA22,'L5'!AA22)</f>
        <v>79.256155055002594</v>
      </c>
      <c r="AB22">
        <f>MEDIAN('L1'!AB22,'L2'!AB22,'L3'!AB22,'L4'!AB22,'L5'!AB22)</f>
        <v>79.809273235717498</v>
      </c>
      <c r="AC22">
        <f>MEDIAN('L1'!AC22,'L2'!AC22,'L3'!AC22,'L4'!AC22,'L5'!AC22)</f>
        <v>143579.39993895899</v>
      </c>
      <c r="AD22">
        <f>MEDIAN('L1'!AD22,'L2'!AD22,'L3'!AD22,'L4'!AD22,'L5'!AD22)</f>
        <v>82.683328000000003</v>
      </c>
      <c r="AE22">
        <f>MEDIAN('L1'!AE22,'L2'!AE22,'L3'!AE22,'L4'!AE22,'L5'!AE22)</f>
        <v>35335</v>
      </c>
      <c r="AF22">
        <f>MEDIAN('L1'!AF22,'L2'!AF22,'L3'!AF22,'L4'!AF22,'L5'!AF22)</f>
        <v>34569</v>
      </c>
      <c r="AG22" t="e">
        <f>MEDIAN('L1'!AG22,'L2'!AG22,'L3'!AG22,'L4'!AG22,'L5'!AG22)</f>
        <v>#NUM!</v>
      </c>
    </row>
    <row r="23" spans="1:33" x14ac:dyDescent="0.2">
      <c r="A23">
        <v>0</v>
      </c>
      <c r="B23">
        <v>2.21</v>
      </c>
      <c r="C23" t="s">
        <v>62</v>
      </c>
      <c r="D23" t="s">
        <v>44</v>
      </c>
      <c r="E23">
        <f>MEDIAN('L1'!E23,'L2'!E23,'L3'!E23,'L4'!E23,'L5'!E23)</f>
        <v>84.482439926062895</v>
      </c>
      <c r="F23">
        <f>MEDIAN('L1'!F23,'L2'!F23,'L3'!F23,'L4'!F23,'L5'!F23)</f>
        <v>1679</v>
      </c>
      <c r="G23">
        <f>MEDIAN('L1'!G23,'L2'!G23,'L3'!G23,'L4'!G23,'L5'!G23)</f>
        <v>84.494499738082794</v>
      </c>
      <c r="H23">
        <f>MEDIAN('L1'!H23,'L2'!H23,'L3'!H23,'L4'!H23,'L5'!H23)</f>
        <v>296</v>
      </c>
      <c r="I23">
        <f>MEDIAN('L1'!I23,'L2'!I23,'L3'!I23,'L4'!I23,'L5'!I23)</f>
        <v>15.517560073937201</v>
      </c>
      <c r="J23">
        <f>MEDIAN('L1'!J23,'L2'!J23,'L3'!J23,'L4'!J23,'L5'!J23)</f>
        <v>67.234634192490503</v>
      </c>
      <c r="K23">
        <f>MEDIAN('L1'!K23,'L2'!K23,'L3'!K23,'L4'!K23,'L5'!K23)</f>
        <v>84.482439926062895</v>
      </c>
      <c r="L23">
        <f>MEDIAN('L1'!L23,'L2'!L23,'L3'!L23,'L4'!L23,'L5'!L23)</f>
        <v>81.801377051125698</v>
      </c>
      <c r="M23">
        <f>MEDIAN('L1'!M23,'L2'!M23,'L3'!M23,'L4'!M23,'L5'!M23)</f>
        <v>60.689903374560501</v>
      </c>
      <c r="N23">
        <f>MEDIAN('L1'!N23,'L2'!N23,'L3'!N23,'L4'!N23,'L5'!N23)</f>
        <v>84.482439926062895</v>
      </c>
      <c r="O23">
        <f>MEDIAN('L1'!O23,'L2'!O23,'L3'!O23,'L4'!O23,'L5'!O23)</f>
        <v>84.482439926062796</v>
      </c>
      <c r="P23">
        <f>MEDIAN('L1'!P23,'L2'!P23,'L3'!P23,'L4'!P23,'L5'!P23)</f>
        <v>62.591831247683103</v>
      </c>
      <c r="Q23">
        <f>MEDIAN('L1'!Q23,'L2'!Q23,'L3'!Q23,'L4'!Q23,'L5'!Q23)</f>
        <v>84.482439926062895</v>
      </c>
      <c r="R23">
        <f>MEDIAN('L1'!R23,'L2'!R23,'L3'!R23,'L4'!R23,'L5'!R23)</f>
        <v>82.621551016306</v>
      </c>
      <c r="S23">
        <f>MEDIAN('L1'!S23,'L2'!S23,'L3'!S23,'L4'!S23,'L5'!S23)</f>
        <v>15.5055002619172</v>
      </c>
      <c r="T23">
        <f>MEDIAN('L1'!T23,'L2'!T23,'L3'!T23,'L4'!T23,'L5'!T23)</f>
        <v>67.318492652407997</v>
      </c>
      <c r="U23">
        <f>MEDIAN('L1'!U23,'L2'!U23,'L3'!U23,'L4'!U23,'L5'!U23)</f>
        <v>84.494499738082794</v>
      </c>
      <c r="V23">
        <f>MEDIAN('L1'!V23,'L2'!V23,'L3'!V23,'L4'!V23,'L5'!V23)</f>
        <v>81.823194434917795</v>
      </c>
      <c r="W23">
        <f>MEDIAN('L1'!W23,'L2'!W23,'L3'!W23,'L4'!W23,'L5'!W23)</f>
        <v>60.641820151679298</v>
      </c>
      <c r="X23">
        <f>MEDIAN('L1'!X23,'L2'!X23,'L3'!X23,'L4'!X23,'L5'!X23)</f>
        <v>84.494499738082794</v>
      </c>
      <c r="Y23">
        <f>MEDIAN('L1'!Y23,'L2'!Y23,'L3'!Y23,'L4'!Y23,'L5'!Y23)</f>
        <v>84.494499738082794</v>
      </c>
      <c r="Z23">
        <f>MEDIAN('L1'!Z23,'L2'!Z23,'L3'!Z23,'L4'!Z23,'L5'!Z23)</f>
        <v>62.518667187596101</v>
      </c>
      <c r="AA23">
        <f>MEDIAN('L1'!AA23,'L2'!AA23,'L3'!AA23,'L4'!AA23,'L5'!AA23)</f>
        <v>84.494499738082794</v>
      </c>
      <c r="AB23">
        <f>MEDIAN('L1'!AB23,'L2'!AB23,'L3'!AB23,'L4'!AB23,'L5'!AB23)</f>
        <v>82.6552050286937</v>
      </c>
      <c r="AC23">
        <f>MEDIAN('L1'!AC23,'L2'!AC23,'L3'!AC23,'L4'!AC23,'L5'!AC23)</f>
        <v>120699.656418723</v>
      </c>
      <c r="AD23">
        <f>MEDIAN('L1'!AD23,'L2'!AD23,'L3'!AD23,'L4'!AD23,'L5'!AD23)</f>
        <v>60.709896999999998</v>
      </c>
      <c r="AE23">
        <f>MEDIAN('L1'!AE23,'L2'!AE23,'L3'!AE23,'L4'!AE23,'L5'!AE23)</f>
        <v>14067</v>
      </c>
      <c r="AF23">
        <f>MEDIAN('L1'!AF23,'L2'!AF23,'L3'!AF23,'L4'!AF23,'L5'!AF23)</f>
        <v>12777</v>
      </c>
      <c r="AG23" t="e">
        <f>MEDIAN('L1'!AG23,'L2'!AG23,'L3'!AG23,'L4'!AG23,'L5'!AG23)</f>
        <v>#NUM!</v>
      </c>
    </row>
    <row r="24" spans="1:33" x14ac:dyDescent="0.2">
      <c r="A24">
        <v>0</v>
      </c>
      <c r="B24">
        <v>2.2200000000000002</v>
      </c>
      <c r="C24" t="s">
        <v>62</v>
      </c>
      <c r="D24" t="s">
        <v>44</v>
      </c>
      <c r="E24">
        <f>MEDIAN('L1'!E24,'L2'!E24,'L3'!E24,'L4'!E24,'L5'!E24)</f>
        <v>83.890942698706098</v>
      </c>
      <c r="F24">
        <f>MEDIAN('L1'!F24,'L2'!F24,'L3'!F24,'L4'!F24,'L5'!F24)</f>
        <v>1743</v>
      </c>
      <c r="G24">
        <f>MEDIAN('L1'!G24,'L2'!G24,'L3'!G24,'L4'!G24,'L5'!G24)</f>
        <v>84.127815610267106</v>
      </c>
      <c r="H24">
        <f>MEDIAN('L1'!H24,'L2'!H24,'L3'!H24,'L4'!H24,'L5'!H24)</f>
        <v>303</v>
      </c>
      <c r="I24">
        <f>MEDIAN('L1'!I24,'L2'!I24,'L3'!I24,'L4'!I24,'L5'!I24)</f>
        <v>16.109057301293898</v>
      </c>
      <c r="J24">
        <f>MEDIAN('L1'!J24,'L2'!J24,'L3'!J24,'L4'!J24,'L5'!J24)</f>
        <v>65.682438107377806</v>
      </c>
      <c r="K24">
        <f>MEDIAN('L1'!K24,'L2'!K24,'L3'!K24,'L4'!K24,'L5'!K24)</f>
        <v>83.890942698706098</v>
      </c>
      <c r="L24">
        <f>MEDIAN('L1'!L24,'L2'!L24,'L3'!L24,'L4'!L24,'L5'!L24)</f>
        <v>81.332110077928803</v>
      </c>
      <c r="M24">
        <f>MEDIAN('L1'!M24,'L2'!M24,'L3'!M24,'L4'!M24,'L5'!M24)</f>
        <v>60.2912048644721</v>
      </c>
      <c r="N24">
        <f>MEDIAN('L1'!N24,'L2'!N24,'L3'!N24,'L4'!N24,'L5'!N24)</f>
        <v>83.890942698706098</v>
      </c>
      <c r="O24">
        <f>MEDIAN('L1'!O24,'L2'!O24,'L3'!O24,'L4'!O24,'L5'!O24)</f>
        <v>83.890942698706098</v>
      </c>
      <c r="P24">
        <f>MEDIAN('L1'!P24,'L2'!P24,'L3'!P24,'L4'!P24,'L5'!P24)</f>
        <v>61.941473497098897</v>
      </c>
      <c r="Q24">
        <f>MEDIAN('L1'!Q24,'L2'!Q24,'L3'!Q24,'L4'!Q24,'L5'!Q24)</f>
        <v>83.890942698706098</v>
      </c>
      <c r="R24">
        <f>MEDIAN('L1'!R24,'L2'!R24,'L3'!R24,'L4'!R24,'L5'!R24)</f>
        <v>82.232110962768601</v>
      </c>
      <c r="S24">
        <f>MEDIAN('L1'!S24,'L2'!S24,'L3'!S24,'L4'!S24,'L5'!S24)</f>
        <v>15.8721843897328</v>
      </c>
      <c r="T24">
        <f>MEDIAN('L1'!T24,'L2'!T24,'L3'!T24,'L4'!T24,'L5'!T24)</f>
        <v>67.123645384515001</v>
      </c>
      <c r="U24">
        <f>MEDIAN('L1'!U24,'L2'!U24,'L3'!U24,'L4'!U24,'L5'!U24)</f>
        <v>84.127815610267106</v>
      </c>
      <c r="V24">
        <f>MEDIAN('L1'!V24,'L2'!V24,'L3'!V24,'L4'!V24,'L5'!V24)</f>
        <v>82.3762154666111</v>
      </c>
      <c r="W24">
        <f>MEDIAN('L1'!W24,'L2'!W24,'L3'!W24,'L4'!W24,'L5'!W24)</f>
        <v>61.786998916576401</v>
      </c>
      <c r="X24">
        <f>MEDIAN('L1'!X24,'L2'!X24,'L3'!X24,'L4'!X24,'L5'!X24)</f>
        <v>84.127815610267106</v>
      </c>
      <c r="Y24">
        <f>MEDIAN('L1'!Y24,'L2'!Y24,'L3'!Y24,'L4'!Y24,'L5'!Y24)</f>
        <v>84.127815610267106</v>
      </c>
      <c r="Z24">
        <f>MEDIAN('L1'!Z24,'L2'!Z24,'L3'!Z24,'L4'!Z24,'L5'!Z24)</f>
        <v>63.356886195346803</v>
      </c>
      <c r="AA24">
        <f>MEDIAN('L1'!AA24,'L2'!AA24,'L3'!AA24,'L4'!AA24,'L5'!AA24)</f>
        <v>84.127815610267106</v>
      </c>
      <c r="AB24">
        <f>MEDIAN('L1'!AB24,'L2'!AB24,'L3'!AB24,'L4'!AB24,'L5'!AB24)</f>
        <v>83.066928035008104</v>
      </c>
      <c r="AC24">
        <f>MEDIAN('L1'!AC24,'L2'!AC24,'L3'!AC24,'L4'!AC24,'L5'!AC24)</f>
        <v>198583.122269941</v>
      </c>
      <c r="AD24">
        <f>MEDIAN('L1'!AD24,'L2'!AD24,'L3'!AD24,'L4'!AD24,'L5'!AD24)</f>
        <v>74.588319999999996</v>
      </c>
      <c r="AE24">
        <f>MEDIAN('L1'!AE24,'L2'!AE24,'L3'!AE24,'L4'!AE24,'L5'!AE24)</f>
        <v>15839</v>
      </c>
      <c r="AF24">
        <f>MEDIAN('L1'!AF24,'L2'!AF24,'L3'!AF24,'L4'!AF24,'L5'!AF24)</f>
        <v>14025</v>
      </c>
      <c r="AG24" t="e">
        <f>MEDIAN('L1'!AG24,'L2'!AG24,'L3'!AG24,'L4'!AG24,'L5'!AG24)</f>
        <v>#NUM!</v>
      </c>
    </row>
    <row r="25" spans="1:33" x14ac:dyDescent="0.2">
      <c r="A25">
        <v>0</v>
      </c>
      <c r="B25">
        <v>2.23</v>
      </c>
      <c r="C25" t="s">
        <v>69</v>
      </c>
      <c r="D25" t="s">
        <v>44</v>
      </c>
      <c r="E25">
        <f>MEDIAN('L1'!E25,'L2'!E25,'L3'!E25,'L4'!E25,'L5'!E25)</f>
        <v>85.378927911275397</v>
      </c>
      <c r="F25">
        <f>MEDIAN('L1'!F25,'L2'!F25,'L3'!F25,'L4'!F25,'L5'!F25)</f>
        <v>1582</v>
      </c>
      <c r="G25">
        <f>MEDIAN('L1'!G25,'L2'!G25,'L3'!G25,'L4'!G25,'L5'!G25)</f>
        <v>85.280251440544802</v>
      </c>
      <c r="H25">
        <f>MEDIAN('L1'!H25,'L2'!H25,'L3'!H25,'L4'!H25,'L5'!H25)</f>
        <v>281</v>
      </c>
      <c r="I25">
        <f>MEDIAN('L1'!I25,'L2'!I25,'L3'!I25,'L4'!I25,'L5'!I25)</f>
        <v>14.621072088724601</v>
      </c>
      <c r="J25">
        <f>MEDIAN('L1'!J25,'L2'!J25,'L3'!J25,'L4'!J25,'L5'!J25)</f>
        <v>74.881044238683103</v>
      </c>
      <c r="K25">
        <f>MEDIAN('L1'!K25,'L2'!K25,'L3'!K25,'L4'!K25,'L5'!K25)</f>
        <v>85.378927911275397</v>
      </c>
      <c r="L25">
        <f>MEDIAN('L1'!L25,'L2'!L25,'L3'!L25,'L4'!L25,'L5'!L25)</f>
        <v>82.478021976715894</v>
      </c>
      <c r="M25">
        <f>MEDIAN('L1'!M25,'L2'!M25,'L3'!M25,'L4'!M25,'L5'!M25)</f>
        <v>51.800489594763903</v>
      </c>
      <c r="N25">
        <f>MEDIAN('L1'!N25,'L2'!N25,'L3'!N25,'L4'!N25,'L5'!N25)</f>
        <v>85.378927911275397</v>
      </c>
      <c r="O25">
        <f>MEDIAN('L1'!O25,'L2'!O25,'L3'!O25,'L4'!O25,'L5'!O25)</f>
        <v>85.378927911275397</v>
      </c>
      <c r="P25">
        <f>MEDIAN('L1'!P25,'L2'!P25,'L3'!P25,'L4'!P25,'L5'!P25)</f>
        <v>49.773798939563299</v>
      </c>
      <c r="Q25">
        <f>MEDIAN('L1'!Q25,'L2'!Q25,'L3'!Q25,'L4'!Q25,'L5'!Q25)</f>
        <v>85.378927911275397</v>
      </c>
      <c r="R25">
        <f>MEDIAN('L1'!R25,'L2'!R25,'L3'!R25,'L4'!R25,'L5'!R25)</f>
        <v>79.461675961421193</v>
      </c>
      <c r="S25">
        <f>MEDIAN('L1'!S25,'L2'!S25,'L3'!S25,'L4'!S25,'L5'!S25)</f>
        <v>14.7197485594552</v>
      </c>
      <c r="T25">
        <f>MEDIAN('L1'!T25,'L2'!T25,'L3'!T25,'L4'!T25,'L5'!T25)</f>
        <v>84.384956428242347</v>
      </c>
      <c r="U25">
        <f>MEDIAN('L1'!U25,'L2'!U25,'L3'!U25,'L4'!U25,'L5'!U25)</f>
        <v>85.280251440544802</v>
      </c>
      <c r="V25">
        <f>MEDIAN('L1'!V25,'L2'!V25,'L3'!V25,'L4'!V25,'L5'!V25)</f>
        <v>85.123681713875101</v>
      </c>
      <c r="W25">
        <f>MEDIAN('L1'!W25,'L2'!W25,'L3'!W25,'L4'!W25,'L5'!W25)</f>
        <v>50.528169014084497</v>
      </c>
      <c r="X25">
        <f>MEDIAN('L1'!X25,'L2'!X25,'L3'!X25,'L4'!X25,'L5'!X25)</f>
        <v>85.280251440544802</v>
      </c>
      <c r="Y25">
        <f>MEDIAN('L1'!Y25,'L2'!Y25,'L3'!Y25,'L4'!Y25,'L5'!Y25)</f>
        <v>85.280251440544802</v>
      </c>
      <c r="Z25">
        <f>MEDIAN('L1'!Z25,'L2'!Z25,'L3'!Z25,'L4'!Z25,'L5'!Z25)</f>
        <v>47.066253403157901</v>
      </c>
      <c r="AA25">
        <f>MEDIAN('L1'!AA25,'L2'!AA25,'L3'!AA25,'L4'!AA25,'L5'!AA25)</f>
        <v>85.280251440544802</v>
      </c>
      <c r="AB25">
        <f>MEDIAN('L1'!AB25,'L2'!AB25,'L3'!AB25,'L4'!AB25,'L5'!AB25)</f>
        <v>78.659947218284799</v>
      </c>
      <c r="AC25">
        <f>MEDIAN('L1'!AC25,'L2'!AC25,'L3'!AC25,'L4'!AC25,'L5'!AC25)</f>
        <v>51667.7410882697</v>
      </c>
      <c r="AD25">
        <f>MEDIAN('L1'!AD25,'L2'!AD25,'L3'!AD25,'L4'!AD25,'L5'!AD25)</f>
        <v>64.835871999999995</v>
      </c>
      <c r="AE25">
        <f>MEDIAN('L1'!AE25,'L2'!AE25,'L3'!AE25,'L4'!AE25,'L5'!AE25)</f>
        <v>20465</v>
      </c>
      <c r="AF25">
        <f>MEDIAN('L1'!AF25,'L2'!AF25,'L3'!AF25,'L4'!AF25,'L5'!AF25)</f>
        <v>29235</v>
      </c>
      <c r="AG25" t="e">
        <f>MEDIAN('L1'!AG25,'L2'!AG25,'L3'!AG25,'L4'!AG25,'L5'!AG25)</f>
        <v>#NUM!</v>
      </c>
    </row>
    <row r="26" spans="1:33" x14ac:dyDescent="0.2">
      <c r="A26">
        <v>0</v>
      </c>
      <c r="B26">
        <v>2.2400000000000002</v>
      </c>
      <c r="C26" t="s">
        <v>69</v>
      </c>
      <c r="D26" t="s">
        <v>44</v>
      </c>
      <c r="E26">
        <f>MEDIAN('L1'!E26,'L2'!E26,'L3'!E26,'L4'!E26,'L5'!E26)</f>
        <v>85.4898336414048</v>
      </c>
      <c r="F26">
        <f>MEDIAN('L1'!F26,'L2'!F26,'L3'!F26,'L4'!F26,'L5'!F26)</f>
        <v>1570</v>
      </c>
      <c r="G26">
        <f>MEDIAN('L1'!G26,'L2'!G26,'L3'!G26,'L4'!G26,'L5'!G26)</f>
        <v>85.227867993714</v>
      </c>
      <c r="H26">
        <f>MEDIAN('L1'!H26,'L2'!H26,'L3'!H26,'L4'!H26,'L5'!H26)</f>
        <v>282</v>
      </c>
      <c r="I26">
        <f>MEDIAN('L1'!I26,'L2'!I26,'L3'!I26,'L4'!I26,'L5'!I26)</f>
        <v>14.5101663585952</v>
      </c>
      <c r="J26">
        <f>MEDIAN('L1'!J26,'L2'!J26,'L3'!J26,'L4'!J26,'L5'!J26)</f>
        <v>71.020954809952698</v>
      </c>
      <c r="K26">
        <f>MEDIAN('L1'!K26,'L2'!K26,'L3'!K26,'L4'!K26,'L5'!K26)</f>
        <v>85.4898336414048</v>
      </c>
      <c r="L26">
        <f>MEDIAN('L1'!L26,'L2'!L26,'L3'!L26,'L4'!L26,'L5'!L26)</f>
        <v>81.959012493442998</v>
      </c>
      <c r="M26">
        <f>MEDIAN('L1'!M26,'L2'!M26,'L3'!M26,'L4'!M26,'L5'!M26)</f>
        <v>55.627257603433399</v>
      </c>
      <c r="N26">
        <f>MEDIAN('L1'!N26,'L2'!N26,'L3'!N26,'L4'!N26,'L5'!N26)</f>
        <v>85.4898336414048</v>
      </c>
      <c r="O26">
        <f>MEDIAN('L1'!O26,'L2'!O26,'L3'!O26,'L4'!O26,'L5'!O26)</f>
        <v>85.4898336414048</v>
      </c>
      <c r="P26">
        <f>MEDIAN('L1'!P26,'L2'!P26,'L3'!P26,'L4'!P26,'L5'!P26)</f>
        <v>56.598169814693897</v>
      </c>
      <c r="Q26">
        <f>MEDIAN('L1'!Q26,'L2'!Q26,'L3'!Q26,'L4'!Q26,'L5'!Q26)</f>
        <v>85.4898336414048</v>
      </c>
      <c r="R26">
        <f>MEDIAN('L1'!R26,'L2'!R26,'L3'!R26,'L4'!R26,'L5'!R26)</f>
        <v>81.484414388847895</v>
      </c>
      <c r="S26">
        <f>MEDIAN('L1'!S26,'L2'!S26,'L3'!S26,'L4'!S26,'L5'!S26)</f>
        <v>14.772132006286</v>
      </c>
      <c r="T26">
        <f>MEDIAN('L1'!T26,'L2'!T26,'L3'!T26,'L4'!T26,'L5'!T26)</f>
        <v>69.013499480789207</v>
      </c>
      <c r="U26">
        <f>MEDIAN('L1'!U26,'L2'!U26,'L3'!U26,'L4'!U26,'L5'!U26)</f>
        <v>85.227867993714</v>
      </c>
      <c r="V26">
        <f>MEDIAN('L1'!V26,'L2'!V26,'L3'!V26,'L4'!V26,'L5'!V26)</f>
        <v>81.589247413601299</v>
      </c>
      <c r="W26">
        <f>MEDIAN('L1'!W26,'L2'!W26,'L3'!W26,'L4'!W26,'L5'!W26)</f>
        <v>56.0934499992672</v>
      </c>
      <c r="X26">
        <f>MEDIAN('L1'!X26,'L2'!X26,'L3'!X26,'L4'!X26,'L5'!X26)</f>
        <v>85.227867993714</v>
      </c>
      <c r="Y26">
        <f>MEDIAN('L1'!Y26,'L2'!Y26,'L3'!Y26,'L4'!Y26,'L5'!Y26)</f>
        <v>85.227867993714</v>
      </c>
      <c r="Z26">
        <f>MEDIAN('L1'!Z26,'L2'!Z26,'L3'!Z26,'L4'!Z26,'L5'!Z26)</f>
        <v>57.314162987710297</v>
      </c>
      <c r="AA26">
        <f>MEDIAN('L1'!AA26,'L2'!AA26,'L3'!AA26,'L4'!AA26,'L5'!AA26)</f>
        <v>85.227867993714</v>
      </c>
      <c r="AB26">
        <f>MEDIAN('L1'!AB26,'L2'!AB26,'L3'!AB26,'L4'!AB26,'L5'!AB26)</f>
        <v>81.812649097833699</v>
      </c>
      <c r="AC26">
        <f>MEDIAN('L1'!AC26,'L2'!AC26,'L3'!AC26,'L4'!AC26,'L5'!AC26)</f>
        <v>24096.814855396799</v>
      </c>
      <c r="AD26">
        <f>MEDIAN('L1'!AD26,'L2'!AD26,'L3'!AD26,'L4'!AD26,'L5'!AD26)</f>
        <v>45.248981999999998</v>
      </c>
      <c r="AE26">
        <f>MEDIAN('L1'!AE26,'L2'!AE26,'L3'!AE26,'L4'!AE26,'L5'!AE26)</f>
        <v>20499</v>
      </c>
      <c r="AF26">
        <f>MEDIAN('L1'!AF26,'L2'!AF26,'L3'!AF26,'L4'!AF26,'L5'!AF26)</f>
        <v>29235</v>
      </c>
      <c r="AG26" t="e">
        <f>MEDIAN('L1'!AG26,'L2'!AG26,'L3'!AG26,'L4'!AG26,'L5'!AG26)</f>
        <v>#NUM!</v>
      </c>
    </row>
    <row r="27" spans="1:33" x14ac:dyDescent="0.2">
      <c r="A27">
        <v>0</v>
      </c>
      <c r="B27">
        <v>2.2999999999999998</v>
      </c>
      <c r="C27" t="s">
        <v>45</v>
      </c>
      <c r="D27" t="s">
        <v>44</v>
      </c>
      <c r="E27">
        <f>MEDIAN('L1'!E27,'L2'!E27,'L3'!E27,'L4'!E27,'L5'!E27)</f>
        <v>85.257920921707296</v>
      </c>
      <c r="F27">
        <f>MEDIAN('L1'!F27,'L2'!F27,'L3'!F27,'L4'!F27,'L5'!F27)</f>
        <v>1599</v>
      </c>
      <c r="G27">
        <f>MEDIAN('L1'!G27,'L2'!G27,'L3'!G27,'L4'!G27,'L5'!G27)</f>
        <v>85.123101100052395</v>
      </c>
      <c r="H27">
        <f>MEDIAN('L1'!H27,'L2'!H27,'L3'!H27,'L4'!H27,'L5'!H27)</f>
        <v>284</v>
      </c>
      <c r="I27">
        <f>MEDIAN('L1'!I27,'L2'!I27,'L3'!I27,'L4'!I27,'L5'!I27)</f>
        <v>14.742079078292701</v>
      </c>
      <c r="J27">
        <f>MEDIAN('L1'!J27,'L2'!J27,'L3'!J27,'L4'!J27,'L5'!J27)</f>
        <v>69.9423619414179</v>
      </c>
      <c r="K27">
        <f>MEDIAN('L1'!K27,'L2'!K27,'L3'!K27,'L4'!K27,'L5'!K27)</f>
        <v>85.257920921707296</v>
      </c>
      <c r="L27">
        <f>MEDIAN('L1'!L27,'L2'!L27,'L3'!L27,'L4'!L27,'L5'!L27)</f>
        <v>81.738871656636803</v>
      </c>
      <c r="M27">
        <f>MEDIAN('L1'!M27,'L2'!M27,'L3'!M27,'L4'!M27,'L5'!M27)</f>
        <v>51.601582776787303</v>
      </c>
      <c r="N27">
        <f>MEDIAN('L1'!N27,'L2'!N27,'L3'!N27,'L4'!N27,'L5'!N27)</f>
        <v>85.257920921707296</v>
      </c>
      <c r="O27">
        <f>MEDIAN('L1'!O27,'L2'!O27,'L3'!O27,'L4'!O27,'L5'!O27)</f>
        <v>85.257920921707296</v>
      </c>
      <c r="P27">
        <f>MEDIAN('L1'!P27,'L2'!P27,'L3'!P27,'L4'!P27,'L5'!P27)</f>
        <v>49.477048652824401</v>
      </c>
      <c r="Q27">
        <f>MEDIAN('L1'!Q27,'L2'!Q27,'L3'!Q27,'L4'!Q27,'L5'!Q27)</f>
        <v>85.257920921707296</v>
      </c>
      <c r="R27">
        <f>MEDIAN('L1'!R27,'L2'!R27,'L3'!R27,'L4'!R27,'L5'!R27)</f>
        <v>79.318682298675</v>
      </c>
      <c r="S27">
        <f>MEDIAN('L1'!S27,'L2'!S27,'L3'!S27,'L4'!S27,'L5'!S27)</f>
        <v>14.8768988999476</v>
      </c>
      <c r="T27">
        <f>MEDIAN('L1'!T27,'L2'!T27,'L3'!T27,'L4'!T27,'L5'!T27)</f>
        <v>66.376663520283799</v>
      </c>
      <c r="U27">
        <f>MEDIAN('L1'!U27,'L2'!U27,'L3'!U27,'L4'!U27,'L5'!U27)</f>
        <v>85.123101100052395</v>
      </c>
      <c r="V27">
        <f>MEDIAN('L1'!V27,'L2'!V27,'L3'!V27,'L4'!V27,'L5'!V27)</f>
        <v>80.834927222153297</v>
      </c>
      <c r="W27">
        <f>MEDIAN('L1'!W27,'L2'!W27,'L3'!W27,'L4'!W27,'L5'!W27)</f>
        <v>56.842145178764902</v>
      </c>
      <c r="X27">
        <f>MEDIAN('L1'!X27,'L2'!X27,'L3'!X27,'L4'!X27,'L5'!X27)</f>
        <v>85.123101100052395</v>
      </c>
      <c r="Y27">
        <f>MEDIAN('L1'!Y27,'L2'!Y27,'L3'!Y27,'L4'!Y27,'L5'!Y27)</f>
        <v>85.123101100052395</v>
      </c>
      <c r="Z27">
        <f>MEDIAN('L1'!Z27,'L2'!Z27,'L3'!Z27,'L4'!Z27,'L5'!Z27)</f>
        <v>58.2570933246365</v>
      </c>
      <c r="AA27">
        <f>MEDIAN('L1'!AA27,'L2'!AA27,'L3'!AA27,'L4'!AA27,'L5'!AA27)</f>
        <v>85.123101100052395</v>
      </c>
      <c r="AB27">
        <f>MEDIAN('L1'!AB27,'L2'!AB27,'L3'!AB27,'L4'!AB27,'L5'!AB27)</f>
        <v>81.574023895803705</v>
      </c>
      <c r="AC27">
        <f>MEDIAN('L1'!AC27,'L2'!AC27,'L3'!AC27,'L4'!AC27,'L5'!AC27)</f>
        <v>387369.32550479699</v>
      </c>
      <c r="AD27">
        <f>MEDIAN('L1'!AD27,'L2'!AD27,'L3'!AD27,'L4'!AD27,'L5'!AD27)</f>
        <v>3.3008329999999999</v>
      </c>
      <c r="AE27">
        <f>MEDIAN('L1'!AE27,'L2'!AE27,'L3'!AE27,'L4'!AE27,'L5'!AE27)</f>
        <v>8298</v>
      </c>
      <c r="AF27">
        <f>MEDIAN('L1'!AF27,'L2'!AF27,'L3'!AF27,'L4'!AF27,'L5'!AF27)</f>
        <v>7849</v>
      </c>
      <c r="AG27" t="e">
        <f>MEDIAN('L1'!AG27,'L2'!AG27,'L3'!AG27,'L4'!AG27,'L5'!AG27)</f>
        <v>#NUM!</v>
      </c>
    </row>
    <row r="28" spans="1:33" x14ac:dyDescent="0.2">
      <c r="A28">
        <v>0</v>
      </c>
      <c r="B28">
        <v>2.4</v>
      </c>
      <c r="C28" t="s">
        <v>73</v>
      </c>
      <c r="D28" t="s">
        <v>44</v>
      </c>
      <c r="E28">
        <f>MEDIAN('L1'!E28,'L2'!E28,'L3'!E28,'L4'!E28,'L5'!E28)</f>
        <v>86.497227356746805</v>
      </c>
      <c r="F28">
        <f>MEDIAN('L1'!F28,'L2'!F28,'L3'!F28,'L4'!F28,'L5'!F28)</f>
        <v>1461</v>
      </c>
      <c r="G28">
        <f>MEDIAN('L1'!G28,'L2'!G28,'L3'!G28,'L4'!G28,'L5'!G28)</f>
        <v>86.537454164484004</v>
      </c>
      <c r="H28">
        <f>MEDIAN('L1'!H28,'L2'!H28,'L3'!H28,'L4'!H28,'L5'!H28)</f>
        <v>257</v>
      </c>
      <c r="I28">
        <f>MEDIAN('L1'!I28,'L2'!I28,'L3'!I28,'L4'!I28,'L5'!I28)</f>
        <v>13.5027726432532</v>
      </c>
      <c r="J28">
        <f>MEDIAN('L1'!J28,'L2'!J28,'L3'!J28,'L4'!J28,'L5'!J28)</f>
        <v>74.693756694648499</v>
      </c>
      <c r="K28">
        <f>MEDIAN('L1'!K28,'L2'!K28,'L3'!K28,'L4'!K28,'L5'!K28)</f>
        <v>86.497227356746805</v>
      </c>
      <c r="L28">
        <f>MEDIAN('L1'!L28,'L2'!L28,'L3'!L28,'L4'!L28,'L5'!L28)</f>
        <v>84.147493341352899</v>
      </c>
      <c r="M28">
        <f>MEDIAN('L1'!M28,'L2'!M28,'L3'!M28,'L4'!M28,'L5'!M28)</f>
        <v>61.157211983106698</v>
      </c>
      <c r="N28">
        <f>MEDIAN('L1'!N28,'L2'!N28,'L3'!N28,'L4'!N28,'L5'!N28)</f>
        <v>86.497227356746805</v>
      </c>
      <c r="O28">
        <f>MEDIAN('L1'!O28,'L2'!O28,'L3'!O28,'L4'!O28,'L5'!O28)</f>
        <v>86.497227356746805</v>
      </c>
      <c r="P28">
        <f>MEDIAN('L1'!P28,'L2'!P28,'L3'!P28,'L4'!P28,'L5'!P28)</f>
        <v>64.034099398311398</v>
      </c>
      <c r="Q28">
        <f>MEDIAN('L1'!Q28,'L2'!Q28,'L3'!Q28,'L4'!Q28,'L5'!Q28)</f>
        <v>86.497227356746805</v>
      </c>
      <c r="R28">
        <f>MEDIAN('L1'!R28,'L2'!R28,'L3'!R28,'L4'!R28,'L5'!R28)</f>
        <v>83.988481338701405</v>
      </c>
      <c r="S28">
        <f>MEDIAN('L1'!S28,'L2'!S28,'L3'!S28,'L4'!S28,'L5'!S28)</f>
        <v>13.462545835516</v>
      </c>
      <c r="T28">
        <f>MEDIAN('L1'!T28,'L2'!T28,'L3'!T28,'L4'!T28,'L5'!T28)</f>
        <v>74.297821577687003</v>
      </c>
      <c r="U28">
        <f>MEDIAN('L1'!U28,'L2'!U28,'L3'!U28,'L4'!U28,'L5'!U28)</f>
        <v>86.537454164484004</v>
      </c>
      <c r="V28">
        <f>MEDIAN('L1'!V28,'L2'!V28,'L3'!V28,'L4'!V28,'L5'!V28)</f>
        <v>84.339907569820099</v>
      </c>
      <c r="W28">
        <f>MEDIAN('L1'!W28,'L2'!W28,'L3'!W28,'L4'!W28,'L5'!W28)</f>
        <v>62.272589382448501</v>
      </c>
      <c r="X28">
        <f>MEDIAN('L1'!X28,'L2'!X28,'L3'!X28,'L4'!X28,'L5'!X28)</f>
        <v>86.537454164484004</v>
      </c>
      <c r="Y28">
        <f>MEDIAN('L1'!Y28,'L2'!Y28,'L3'!Y28,'L4'!Y28,'L5'!Y28)</f>
        <v>86.537454164484004</v>
      </c>
      <c r="Z28">
        <f>MEDIAN('L1'!Z28,'L2'!Z28,'L3'!Z28,'L4'!Z28,'L5'!Z28)</f>
        <v>65.6267526226614</v>
      </c>
      <c r="AA28">
        <f>MEDIAN('L1'!AA28,'L2'!AA28,'L3'!AA28,'L4'!AA28,'L5'!AA28)</f>
        <v>86.537454164484004</v>
      </c>
      <c r="AB28">
        <f>MEDIAN('L1'!AB28,'L2'!AB28,'L3'!AB28,'L4'!AB28,'L5'!AB28)</f>
        <v>84.517535600347102</v>
      </c>
      <c r="AC28">
        <f>MEDIAN('L1'!AC28,'L2'!AC28,'L3'!AC28,'L4'!AC28,'L5'!AC28)</f>
        <v>76894.650065381793</v>
      </c>
      <c r="AD28">
        <f>MEDIAN('L1'!AD28,'L2'!AD28,'L3'!AD28,'L4'!AD28,'L5'!AD28)</f>
        <v>6.7566410000000001</v>
      </c>
      <c r="AE28">
        <f>MEDIAN('L1'!AE28,'L2'!AE28,'L3'!AE28,'L4'!AE28,'L5'!AE28)</f>
        <v>5033052</v>
      </c>
      <c r="AF28">
        <f>MEDIAN('L1'!AF28,'L2'!AF28,'L3'!AF28,'L4'!AF28,'L5'!AF28)</f>
        <v>19956</v>
      </c>
      <c r="AG28" t="e">
        <f>MEDIAN('L1'!AG28,'L2'!AG28,'L3'!AG28,'L4'!AG28,'L5'!AG28)</f>
        <v>#NUM!</v>
      </c>
    </row>
    <row r="29" spans="1:33" x14ac:dyDescent="0.2">
      <c r="A29">
        <v>0</v>
      </c>
      <c r="B29">
        <v>2.5</v>
      </c>
      <c r="C29" t="s">
        <v>74</v>
      </c>
      <c r="D29" t="s">
        <v>44</v>
      </c>
      <c r="E29">
        <f>MEDIAN('L1'!E29,'L2'!E29,'L3'!E29,'L4'!E29,'L5'!E29)</f>
        <v>85.101663585951897</v>
      </c>
      <c r="F29">
        <f>MEDIAN('L1'!F29,'L2'!F29,'L3'!F29,'L4'!F29,'L5'!F29)</f>
        <v>1612</v>
      </c>
      <c r="G29">
        <f>MEDIAN('L1'!G29,'L2'!G29,'L3'!G29,'L4'!G29,'L5'!G29)</f>
        <v>85.123101100052395</v>
      </c>
      <c r="H29">
        <f>MEDIAN('L1'!H29,'L2'!H29,'L3'!H29,'L4'!H29,'L5'!H29)</f>
        <v>284</v>
      </c>
      <c r="I29">
        <f>MEDIAN('L1'!I29,'L2'!I29,'L3'!I29,'L4'!I29,'L5'!I29)</f>
        <v>14.898336414048099</v>
      </c>
      <c r="J29" t="e">
        <f>MEDIAN('L1'!J29,'L2'!J29,'L3'!J29,'L4'!J29,'L5'!J29)</f>
        <v>#NUM!</v>
      </c>
      <c r="K29">
        <f>MEDIAN('L1'!K29,'L2'!K29,'L3'!K29,'L4'!K29,'L5'!K29)</f>
        <v>85.101663585951897</v>
      </c>
      <c r="L29" t="e">
        <f>MEDIAN('L1'!L29,'L2'!L29,'L3'!L29,'L4'!L29,'L5'!L29)</f>
        <v>#NUM!</v>
      </c>
      <c r="M29">
        <f>MEDIAN('L1'!M29,'L2'!M29,'L3'!M29,'L4'!M29,'L5'!M29)</f>
        <v>50</v>
      </c>
      <c r="N29">
        <f>MEDIAN('L1'!N29,'L2'!N29,'L3'!N29,'L4'!N29,'L5'!N29)</f>
        <v>85.101663585951897</v>
      </c>
      <c r="O29">
        <f>MEDIAN('L1'!O29,'L2'!O29,'L3'!O29,'L4'!O29,'L5'!O29)</f>
        <v>85.101663585951897</v>
      </c>
      <c r="P29">
        <f>MEDIAN('L1'!P29,'L2'!P29,'L3'!P29,'L4'!P29,'L5'!P29)</f>
        <v>45.975634112242901</v>
      </c>
      <c r="Q29">
        <f>MEDIAN('L1'!Q29,'L2'!Q29,'L3'!Q29,'L4'!Q29,'L5'!Q29)</f>
        <v>85.101663585951897</v>
      </c>
      <c r="R29">
        <f>MEDIAN('L1'!R29,'L2'!R29,'L3'!R29,'L4'!R29,'L5'!R29)</f>
        <v>78.252058947418206</v>
      </c>
      <c r="S29">
        <f>MEDIAN('L1'!S29,'L2'!S29,'L3'!S29,'L4'!S29,'L5'!S29)</f>
        <v>14.8768988999476</v>
      </c>
      <c r="T29" t="e">
        <f>MEDIAN('L1'!T29,'L2'!T29,'L3'!T29,'L4'!T29,'L5'!T29)</f>
        <v>#NUM!</v>
      </c>
      <c r="U29">
        <f>MEDIAN('L1'!U29,'L2'!U29,'L3'!U29,'L4'!U29,'L5'!U29)</f>
        <v>85.123101100052395</v>
      </c>
      <c r="V29" t="e">
        <f>MEDIAN('L1'!V29,'L2'!V29,'L3'!V29,'L4'!V29,'L5'!V29)</f>
        <v>#NUM!</v>
      </c>
      <c r="W29">
        <f>MEDIAN('L1'!W29,'L2'!W29,'L3'!W29,'L4'!W29,'L5'!W29)</f>
        <v>50</v>
      </c>
      <c r="X29">
        <f>MEDIAN('L1'!X29,'L2'!X29,'L3'!X29,'L4'!X29,'L5'!X29)</f>
        <v>85.123101100052395</v>
      </c>
      <c r="Y29">
        <f>MEDIAN('L1'!Y29,'L2'!Y29,'L3'!Y29,'L4'!Y29,'L5'!Y29)</f>
        <v>85.123101100052395</v>
      </c>
      <c r="Z29">
        <f>MEDIAN('L1'!Z29,'L2'!Z29,'L3'!Z29,'L4'!Z29,'L5'!Z29)</f>
        <v>45.9818902093945</v>
      </c>
      <c r="AA29">
        <f>MEDIAN('L1'!AA29,'L2'!AA29,'L3'!AA29,'L4'!AA29,'L5'!AA29)</f>
        <v>85.123101100052395</v>
      </c>
      <c r="AB29">
        <f>MEDIAN('L1'!AB29,'L2'!AB29,'L3'!AB29,'L4'!AB29,'L5'!AB29)</f>
        <v>78.282421781315904</v>
      </c>
      <c r="AC29">
        <f>MEDIAN('L1'!AC29,'L2'!AC29,'L3'!AC29,'L4'!AC29,'L5'!AC29)</f>
        <v>297678.00154066202</v>
      </c>
      <c r="AD29">
        <f>MEDIAN('L1'!AD29,'L2'!AD29,'L3'!AD29,'L4'!AD29,'L5'!AD29)</f>
        <v>4.7458450000000001</v>
      </c>
      <c r="AE29">
        <f>MEDIAN('L1'!AE29,'L2'!AE29,'L3'!AE29,'L4'!AE29,'L5'!AE29)</f>
        <v>14563</v>
      </c>
      <c r="AF29">
        <f>MEDIAN('L1'!AF29,'L2'!AF29,'L3'!AF29,'L4'!AF29,'L5'!AF29)</f>
        <v>7987</v>
      </c>
      <c r="AG29" t="e">
        <f>MEDIAN('L1'!AG29,'L2'!AG29,'L3'!AG29,'L4'!AG29,'L5'!AG29)</f>
        <v>#NUM!</v>
      </c>
    </row>
    <row r="30" spans="1:33" x14ac:dyDescent="0.2">
      <c r="A30">
        <v>0</v>
      </c>
      <c r="B30">
        <v>2.6</v>
      </c>
      <c r="C30" t="s">
        <v>76</v>
      </c>
      <c r="D30" t="s">
        <v>44</v>
      </c>
      <c r="E30">
        <f>MEDIAN('L1'!E30,'L2'!E30,'L3'!E30,'L4'!E30,'L5'!E30)</f>
        <v>85.101663585951897</v>
      </c>
      <c r="F30">
        <f>MEDIAN('L1'!F30,'L2'!F30,'L3'!F30,'L4'!F30,'L5'!F30)</f>
        <v>1612</v>
      </c>
      <c r="G30">
        <f>MEDIAN('L1'!G30,'L2'!G30,'L3'!G30,'L4'!G30,'L5'!G30)</f>
        <v>85.123101100052395</v>
      </c>
      <c r="H30">
        <f>MEDIAN('L1'!H30,'L2'!H30,'L3'!H30,'L4'!H30,'L5'!H30)</f>
        <v>284</v>
      </c>
      <c r="I30">
        <f>MEDIAN('L1'!I30,'L2'!I30,'L3'!I30,'L4'!I30,'L5'!I30)</f>
        <v>14.898336414048099</v>
      </c>
      <c r="J30" t="e">
        <f>MEDIAN('L1'!J30,'L2'!J30,'L3'!J30,'L4'!J30,'L5'!J30)</f>
        <v>#NUM!</v>
      </c>
      <c r="K30">
        <f>MEDIAN('L1'!K30,'L2'!K30,'L3'!K30,'L4'!K30,'L5'!K30)</f>
        <v>85.101663585951897</v>
      </c>
      <c r="L30" t="e">
        <f>MEDIAN('L1'!L30,'L2'!L30,'L3'!L30,'L4'!L30,'L5'!L30)</f>
        <v>#NUM!</v>
      </c>
      <c r="M30">
        <f>MEDIAN('L1'!M30,'L2'!M30,'L3'!M30,'L4'!M30,'L5'!M30)</f>
        <v>50</v>
      </c>
      <c r="N30">
        <f>MEDIAN('L1'!N30,'L2'!N30,'L3'!N30,'L4'!N30,'L5'!N30)</f>
        <v>85.101663585951897</v>
      </c>
      <c r="O30">
        <f>MEDIAN('L1'!O30,'L2'!O30,'L3'!O30,'L4'!O30,'L5'!O30)</f>
        <v>85.101663585951897</v>
      </c>
      <c r="P30">
        <f>MEDIAN('L1'!P30,'L2'!P30,'L3'!P30,'L4'!P30,'L5'!P30)</f>
        <v>45.975634112242901</v>
      </c>
      <c r="Q30">
        <f>MEDIAN('L1'!Q30,'L2'!Q30,'L3'!Q30,'L4'!Q30,'L5'!Q30)</f>
        <v>85.101663585951897</v>
      </c>
      <c r="R30">
        <f>MEDIAN('L1'!R30,'L2'!R30,'L3'!R30,'L4'!R30,'L5'!R30)</f>
        <v>78.252058947418206</v>
      </c>
      <c r="S30">
        <f>MEDIAN('L1'!S30,'L2'!S30,'L3'!S30,'L4'!S30,'L5'!S30)</f>
        <v>14.8768988999476</v>
      </c>
      <c r="T30" t="e">
        <f>MEDIAN('L1'!T30,'L2'!T30,'L3'!T30,'L4'!T30,'L5'!T30)</f>
        <v>#NUM!</v>
      </c>
      <c r="U30">
        <f>MEDIAN('L1'!U30,'L2'!U30,'L3'!U30,'L4'!U30,'L5'!U30)</f>
        <v>85.123101100052395</v>
      </c>
      <c r="V30" t="e">
        <f>MEDIAN('L1'!V30,'L2'!V30,'L3'!V30,'L4'!V30,'L5'!V30)</f>
        <v>#NUM!</v>
      </c>
      <c r="W30">
        <f>MEDIAN('L1'!W30,'L2'!W30,'L3'!W30,'L4'!W30,'L5'!W30)</f>
        <v>50</v>
      </c>
      <c r="X30">
        <f>MEDIAN('L1'!X30,'L2'!X30,'L3'!X30,'L4'!X30,'L5'!X30)</f>
        <v>85.123101100052395</v>
      </c>
      <c r="Y30">
        <f>MEDIAN('L1'!Y30,'L2'!Y30,'L3'!Y30,'L4'!Y30,'L5'!Y30)</f>
        <v>85.123101100052395</v>
      </c>
      <c r="Z30">
        <f>MEDIAN('L1'!Z30,'L2'!Z30,'L3'!Z30,'L4'!Z30,'L5'!Z30)</f>
        <v>45.9818902093945</v>
      </c>
      <c r="AA30">
        <f>MEDIAN('L1'!AA30,'L2'!AA30,'L3'!AA30,'L4'!AA30,'L5'!AA30)</f>
        <v>85.123101100052395</v>
      </c>
      <c r="AB30">
        <f>MEDIAN('L1'!AB30,'L2'!AB30,'L3'!AB30,'L4'!AB30,'L5'!AB30)</f>
        <v>78.282421781315904</v>
      </c>
      <c r="AC30">
        <f>MEDIAN('L1'!AC30,'L2'!AC30,'L3'!AC30,'L4'!AC30,'L5'!AC30)</f>
        <v>149761.931126121</v>
      </c>
      <c r="AD30">
        <f>MEDIAN('L1'!AD30,'L2'!AD30,'L3'!AD30,'L4'!AD30,'L5'!AD30)</f>
        <v>6.3610059999999997</v>
      </c>
      <c r="AE30">
        <f>MEDIAN('L1'!AE30,'L2'!AE30,'L3'!AE30,'L4'!AE30,'L5'!AE30)</f>
        <v>14521</v>
      </c>
      <c r="AF30">
        <f>MEDIAN('L1'!AF30,'L2'!AF30,'L3'!AF30,'L4'!AF30,'L5'!AF30)</f>
        <v>7987</v>
      </c>
      <c r="AG30" t="e">
        <f>MEDIAN('L1'!AG30,'L2'!AG30,'L3'!AG30,'L4'!AG30,'L5'!AG30)</f>
        <v>#NUM!</v>
      </c>
    </row>
    <row r="31" spans="1:33" x14ac:dyDescent="0.2">
      <c r="A31">
        <v>0</v>
      </c>
      <c r="B31">
        <v>2.7</v>
      </c>
      <c r="C31" t="s">
        <v>78</v>
      </c>
      <c r="D31" t="s">
        <v>44</v>
      </c>
      <c r="E31">
        <f>MEDIAN('L1'!E31,'L2'!E31,'L3'!E31,'L4'!E31,'L5'!E31)</f>
        <v>83.927911275415894</v>
      </c>
      <c r="F31">
        <f>MEDIAN('L1'!F31,'L2'!F31,'L3'!F31,'L4'!F31,'L5'!F31)</f>
        <v>1739</v>
      </c>
      <c r="G31">
        <f>MEDIAN('L1'!G31,'L2'!G31,'L3'!G31,'L4'!G31,'L5'!G31)</f>
        <v>83.918281822943996</v>
      </c>
      <c r="H31">
        <f>MEDIAN('L1'!H31,'L2'!H31,'L3'!H31,'L4'!H31,'L5'!H31)</f>
        <v>307</v>
      </c>
      <c r="I31">
        <f>MEDIAN('L1'!I31,'L2'!I31,'L3'!I31,'L4'!I31,'L5'!I31)</f>
        <v>16.072088724584098</v>
      </c>
      <c r="J31">
        <f>MEDIAN('L1'!J31,'L2'!J31,'L3'!J31,'L4'!J31,'L5'!J31)</f>
        <v>65.6446817863051</v>
      </c>
      <c r="K31">
        <f>MEDIAN('L1'!K31,'L2'!K31,'L3'!K31,'L4'!K31,'L5'!K31)</f>
        <v>83.927911275415894</v>
      </c>
      <c r="L31">
        <f>MEDIAN('L1'!L31,'L2'!L31,'L3'!L31,'L4'!L31,'L5'!L31)</f>
        <v>81.259887983221404</v>
      </c>
      <c r="M31">
        <f>MEDIAN('L1'!M31,'L2'!M31,'L3'!M31,'L4'!M31,'L5'!M31)</f>
        <v>60.005877400814498</v>
      </c>
      <c r="N31">
        <f>MEDIAN('L1'!N31,'L2'!N31,'L3'!N31,'L4'!N31,'L5'!N31)</f>
        <v>83.927911275415894</v>
      </c>
      <c r="O31">
        <f>MEDIAN('L1'!O31,'L2'!O31,'L3'!O31,'L4'!O31,'L5'!O31)</f>
        <v>83.927911275415894</v>
      </c>
      <c r="P31">
        <f>MEDIAN('L1'!P31,'L2'!P31,'L3'!P31,'L4'!P31,'L5'!P31)</f>
        <v>61.672296359668898</v>
      </c>
      <c r="Q31">
        <f>MEDIAN('L1'!Q31,'L2'!Q31,'L3'!Q31,'L4'!Q31,'L5'!Q31)</f>
        <v>83.927911275415894</v>
      </c>
      <c r="R31">
        <f>MEDIAN('L1'!R31,'L2'!R31,'L3'!R31,'L4'!R31,'L5'!R31)</f>
        <v>82.176074516129106</v>
      </c>
      <c r="S31">
        <f>MEDIAN('L1'!S31,'L2'!S31,'L3'!S31,'L4'!S31,'L5'!S31)</f>
        <v>16.081718177056</v>
      </c>
      <c r="T31">
        <f>MEDIAN('L1'!T31,'L2'!T31,'L3'!T31,'L4'!T31,'L5'!T31)</f>
        <v>65.716592519360702</v>
      </c>
      <c r="U31">
        <f>MEDIAN('L1'!U31,'L2'!U31,'L3'!U31,'L4'!U31,'L5'!U31)</f>
        <v>83.918281822943996</v>
      </c>
      <c r="V31">
        <f>MEDIAN('L1'!V31,'L2'!V31,'L3'!V31,'L4'!V31,'L5'!V31)</f>
        <v>81.373080881198504</v>
      </c>
      <c r="W31">
        <f>MEDIAN('L1'!W31,'L2'!W31,'L3'!W31,'L4'!W31,'L5'!W31)</f>
        <v>60.334127843986998</v>
      </c>
      <c r="X31">
        <f>MEDIAN('L1'!X31,'L2'!X31,'L3'!X31,'L4'!X31,'L5'!X31)</f>
        <v>83.918281822943996</v>
      </c>
      <c r="Y31">
        <f>MEDIAN('L1'!Y31,'L2'!Y31,'L3'!Y31,'L4'!Y31,'L5'!Y31)</f>
        <v>83.918281822943896</v>
      </c>
      <c r="Z31">
        <f>MEDIAN('L1'!Z31,'L2'!Z31,'L3'!Z31,'L4'!Z31,'L5'!Z31)</f>
        <v>61.987921760613197</v>
      </c>
      <c r="AA31">
        <f>MEDIAN('L1'!AA31,'L2'!AA31,'L3'!AA31,'L4'!AA31,'L5'!AA31)</f>
        <v>83.918281822943996</v>
      </c>
      <c r="AB31">
        <f>MEDIAN('L1'!AB31,'L2'!AB31,'L3'!AB31,'L4'!AB31,'L5'!AB31)</f>
        <v>82.269723721706697</v>
      </c>
      <c r="AC31">
        <f>MEDIAN('L1'!AC31,'L2'!AC31,'L3'!AC31,'L4'!AC31,'L5'!AC31)</f>
        <v>100896.129206725</v>
      </c>
      <c r="AD31">
        <f>MEDIAN('L1'!AD31,'L2'!AD31,'L3'!AD31,'L4'!AD31,'L5'!AD31)</f>
        <v>2.0183279999999999</v>
      </c>
      <c r="AE31">
        <f>MEDIAN('L1'!AE31,'L2'!AE31,'L3'!AE31,'L4'!AE31,'L5'!AE31)</f>
        <v>17955</v>
      </c>
      <c r="AF31">
        <f>MEDIAN('L1'!AF31,'L2'!AF31,'L3'!AF31,'L4'!AF31,'L5'!AF31)</f>
        <v>17513</v>
      </c>
      <c r="AG31" t="e">
        <f>MEDIAN('L1'!AG31,'L2'!AG31,'L3'!AG31,'L4'!AG31,'L5'!AG31)</f>
        <v>#NUM!</v>
      </c>
    </row>
    <row r="32" spans="1:33" x14ac:dyDescent="0.2">
      <c r="A32">
        <v>0</v>
      </c>
      <c r="B32">
        <v>2.8</v>
      </c>
      <c r="C32" t="s">
        <v>78</v>
      </c>
      <c r="D32" t="s">
        <v>44</v>
      </c>
      <c r="E32">
        <f>MEDIAN('L1'!E32,'L2'!E32,'L3'!E32,'L4'!E32,'L5'!E32)</f>
        <v>85.138632162661693</v>
      </c>
      <c r="F32">
        <f>MEDIAN('L1'!F32,'L2'!F32,'L3'!F32,'L4'!F32,'L5'!F32)</f>
        <v>1608</v>
      </c>
      <c r="G32">
        <f>MEDIAN('L1'!G32,'L2'!G32,'L3'!G32,'L4'!G32,'L5'!G32)</f>
        <v>84.965950759560002</v>
      </c>
      <c r="H32">
        <f>MEDIAN('L1'!H32,'L2'!H32,'L3'!H32,'L4'!H32,'L5'!H32)</f>
        <v>287</v>
      </c>
      <c r="I32">
        <f>MEDIAN('L1'!I32,'L2'!I32,'L3'!I32,'L4'!I32,'L5'!I32)</f>
        <v>14.8613678373383</v>
      </c>
      <c r="J32">
        <f>MEDIAN('L1'!J32,'L2'!J32,'L3'!J32,'L4'!J32,'L5'!J32)</f>
        <v>68.558829485680903</v>
      </c>
      <c r="K32">
        <f>MEDIAN('L1'!K32,'L2'!K32,'L3'!K32,'L4'!K32,'L5'!K32)</f>
        <v>85.138632162661693</v>
      </c>
      <c r="L32">
        <f>MEDIAN('L1'!L32,'L2'!L32,'L3'!L32,'L4'!L32,'L5'!L32)</f>
        <v>81.379238679625601</v>
      </c>
      <c r="M32">
        <f>MEDIAN('L1'!M32,'L2'!M32,'L3'!M32,'L4'!M32,'L5'!M32)</f>
        <v>56.617735036746602</v>
      </c>
      <c r="N32">
        <f>MEDIAN('L1'!N32,'L2'!N32,'L3'!N32,'L4'!N32,'L5'!N32)</f>
        <v>85.138632162661693</v>
      </c>
      <c r="O32">
        <f>MEDIAN('L1'!O32,'L2'!O32,'L3'!O32,'L4'!O32,'L5'!O32)</f>
        <v>85.138632162661693</v>
      </c>
      <c r="P32">
        <f>MEDIAN('L1'!P32,'L2'!P32,'L3'!P32,'L4'!P32,'L5'!P32)</f>
        <v>57.983559742559102</v>
      </c>
      <c r="Q32">
        <f>MEDIAN('L1'!Q32,'L2'!Q32,'L3'!Q32,'L4'!Q32,'L5'!Q32)</f>
        <v>85.138632162661693</v>
      </c>
      <c r="R32">
        <f>MEDIAN('L1'!R32,'L2'!R32,'L3'!R32,'L4'!R32,'L5'!R32)</f>
        <v>81.635596819425899</v>
      </c>
      <c r="S32">
        <f>MEDIAN('L1'!S32,'L2'!S32,'L3'!S32,'L4'!S32,'L5'!S32)</f>
        <v>15.03404924044</v>
      </c>
      <c r="T32">
        <f>MEDIAN('L1'!T32,'L2'!T32,'L3'!T32,'L4'!T32,'L5'!T32)</f>
        <v>67.575164109817607</v>
      </c>
      <c r="U32">
        <f>MEDIAN('L1'!U32,'L2'!U32,'L3'!U32,'L4'!U32,'L5'!U32)</f>
        <v>84.965950759560002</v>
      </c>
      <c r="V32">
        <f>MEDIAN('L1'!V32,'L2'!V32,'L3'!V32,'L4'!V32,'L5'!V32)</f>
        <v>81.078953859270101</v>
      </c>
      <c r="W32">
        <f>MEDIAN('L1'!W32,'L2'!W32,'L3'!W32,'L4'!W32,'L5'!W32)</f>
        <v>56.544745395449652</v>
      </c>
      <c r="X32">
        <f>MEDIAN('L1'!X32,'L2'!X32,'L3'!X32,'L4'!X32,'L5'!X32)</f>
        <v>84.965950759560002</v>
      </c>
      <c r="Y32">
        <f>MEDIAN('L1'!Y32,'L2'!Y32,'L3'!Y32,'L4'!Y32,'L5'!Y32)</f>
        <v>84.965950759560002</v>
      </c>
      <c r="Z32">
        <f>MEDIAN('L1'!Z32,'L2'!Z32,'L3'!Z32,'L4'!Z32,'L5'!Z32)</f>
        <v>57.887873958715204</v>
      </c>
      <c r="AA32">
        <f>MEDIAN('L1'!AA32,'L2'!AA32,'L3'!AA32,'L4'!AA32,'L5'!AA32)</f>
        <v>84.965950759560002</v>
      </c>
      <c r="AB32">
        <f>MEDIAN('L1'!AB32,'L2'!AB32,'L3'!AB32,'L4'!AB32,'L5'!AB32)</f>
        <v>81.574406860885659</v>
      </c>
      <c r="AC32">
        <f>MEDIAN('L1'!AC32,'L2'!AC32,'L3'!AC32,'L4'!AC32,'L5'!AC32)</f>
        <v>521.01925040931599</v>
      </c>
      <c r="AD32">
        <f>MEDIAN('L1'!AD32,'L2'!AD32,'L3'!AD32,'L4'!AD32,'L5'!AD32)</f>
        <v>108.255658</v>
      </c>
      <c r="AE32">
        <f>MEDIAN('L1'!AE32,'L2'!AE32,'L3'!AE32,'L4'!AE32,'L5'!AE32)</f>
        <v>8060259</v>
      </c>
      <c r="AF32">
        <f>MEDIAN('L1'!AF32,'L2'!AF32,'L3'!AF32,'L4'!AF32,'L5'!AF32)</f>
        <v>3999995</v>
      </c>
      <c r="AG32" t="e">
        <f>MEDIAN('L1'!AG32,'L2'!AG32,'L3'!AG32,'L4'!AG32,'L5'!AG32)</f>
        <v>#NUM!</v>
      </c>
    </row>
    <row r="33" spans="1:33" x14ac:dyDescent="0.2">
      <c r="A33">
        <v>0</v>
      </c>
      <c r="B33">
        <v>2.9</v>
      </c>
      <c r="C33" t="s">
        <v>51</v>
      </c>
      <c r="D33" t="s">
        <v>44</v>
      </c>
      <c r="E33">
        <f>MEDIAN('L1'!E33,'L2'!E33,'L3'!E33,'L4'!E33,'L5'!E33)</f>
        <v>85.101663585951897</v>
      </c>
      <c r="F33">
        <f>MEDIAN('L1'!F33,'L2'!F33,'L3'!F33,'L4'!F33,'L5'!F33)</f>
        <v>1612</v>
      </c>
      <c r="G33">
        <f>MEDIAN('L1'!G33,'L2'!G33,'L3'!G33,'L4'!G33,'L5'!G33)</f>
        <v>85.123101100052395</v>
      </c>
      <c r="H33">
        <f>MEDIAN('L1'!H33,'L2'!H33,'L3'!H33,'L4'!H33,'L5'!H33)</f>
        <v>284</v>
      </c>
      <c r="I33">
        <f>MEDIAN('L1'!I33,'L2'!I33,'L3'!I33,'L4'!I33,'L5'!I33)</f>
        <v>14.898336414048099</v>
      </c>
      <c r="J33" t="e">
        <f>MEDIAN('L1'!J33,'L2'!J33,'L3'!J33,'L4'!J33,'L5'!J33)</f>
        <v>#NUM!</v>
      </c>
      <c r="K33">
        <f>MEDIAN('L1'!K33,'L2'!K33,'L3'!K33,'L4'!K33,'L5'!K33)</f>
        <v>85.101663585951897</v>
      </c>
      <c r="L33" t="e">
        <f>MEDIAN('L1'!L33,'L2'!L33,'L3'!L33,'L4'!L33,'L5'!L33)</f>
        <v>#NUM!</v>
      </c>
      <c r="M33">
        <f>MEDIAN('L1'!M33,'L2'!M33,'L3'!M33,'L4'!M33,'L5'!M33)</f>
        <v>50</v>
      </c>
      <c r="N33">
        <f>MEDIAN('L1'!N33,'L2'!N33,'L3'!N33,'L4'!N33,'L5'!N33)</f>
        <v>85.101663585951897</v>
      </c>
      <c r="O33">
        <f>MEDIAN('L1'!O33,'L2'!O33,'L3'!O33,'L4'!O33,'L5'!O33)</f>
        <v>85.101663585951897</v>
      </c>
      <c r="P33">
        <f>MEDIAN('L1'!P33,'L2'!P33,'L3'!P33,'L4'!P33,'L5'!P33)</f>
        <v>45.975634112242901</v>
      </c>
      <c r="Q33">
        <f>MEDIAN('L1'!Q33,'L2'!Q33,'L3'!Q33,'L4'!Q33,'L5'!Q33)</f>
        <v>85.101663585951897</v>
      </c>
      <c r="R33">
        <f>MEDIAN('L1'!R33,'L2'!R33,'L3'!R33,'L4'!R33,'L5'!R33)</f>
        <v>78.252058947418206</v>
      </c>
      <c r="S33">
        <f>MEDIAN('L1'!S33,'L2'!S33,'L3'!S33,'L4'!S33,'L5'!S33)</f>
        <v>14.8768988999476</v>
      </c>
      <c r="T33" t="e">
        <f>MEDIAN('L1'!T33,'L2'!T33,'L3'!T33,'L4'!T33,'L5'!T33)</f>
        <v>#NUM!</v>
      </c>
      <c r="U33">
        <f>MEDIAN('L1'!U33,'L2'!U33,'L3'!U33,'L4'!U33,'L5'!U33)</f>
        <v>85.123101100052395</v>
      </c>
      <c r="V33" t="e">
        <f>MEDIAN('L1'!V33,'L2'!V33,'L3'!V33,'L4'!V33,'L5'!V33)</f>
        <v>#NUM!</v>
      </c>
      <c r="W33">
        <f>MEDIAN('L1'!W33,'L2'!W33,'L3'!W33,'L4'!W33,'L5'!W33)</f>
        <v>50</v>
      </c>
      <c r="X33">
        <f>MEDIAN('L1'!X33,'L2'!X33,'L3'!X33,'L4'!X33,'L5'!X33)</f>
        <v>85.123101100052395</v>
      </c>
      <c r="Y33">
        <f>MEDIAN('L1'!Y33,'L2'!Y33,'L3'!Y33,'L4'!Y33,'L5'!Y33)</f>
        <v>85.123101100052395</v>
      </c>
      <c r="Z33">
        <f>MEDIAN('L1'!Z33,'L2'!Z33,'L3'!Z33,'L4'!Z33,'L5'!Z33)</f>
        <v>45.9818902093945</v>
      </c>
      <c r="AA33">
        <f>MEDIAN('L1'!AA33,'L2'!AA33,'L3'!AA33,'L4'!AA33,'L5'!AA33)</f>
        <v>85.123101100052395</v>
      </c>
      <c r="AB33">
        <f>MEDIAN('L1'!AB33,'L2'!AB33,'L3'!AB33,'L4'!AB33,'L5'!AB33)</f>
        <v>78.282421781315904</v>
      </c>
      <c r="AC33">
        <f>MEDIAN('L1'!AC33,'L2'!AC33,'L3'!AC33,'L4'!AC33,'L5'!AC33)</f>
        <v>12011.825320084101</v>
      </c>
      <c r="AD33">
        <f>MEDIAN('L1'!AD33,'L2'!AD33,'L3'!AD33,'L4'!AD33,'L5'!AD33)</f>
        <v>11.569015</v>
      </c>
      <c r="AE33">
        <f>MEDIAN('L1'!AE33,'L2'!AE33,'L3'!AE33,'L4'!AE33,'L5'!AE33)</f>
        <v>841582</v>
      </c>
      <c r="AF33">
        <f>MEDIAN('L1'!AF33,'L2'!AF33,'L3'!AF33,'L4'!AF33,'L5'!AF33)</f>
        <v>841053</v>
      </c>
      <c r="AG33" t="e">
        <f>MEDIAN('L1'!AG33,'L2'!AG33,'L3'!AG33,'L4'!AG33,'L5'!AG33)</f>
        <v>#NUM!</v>
      </c>
    </row>
  </sheetData>
  <sortState xmlns:xlrd2="http://schemas.microsoft.com/office/spreadsheetml/2017/richdata2" ref="A12:AL33">
    <sortCondition descending="1" ref="C12:C33"/>
  </sortState>
  <pageMargins left="0.7" right="0.7" top="0.75" bottom="0.75" header="0.3" footer="0.3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3AC1-3A8B-4534-BFDE-86D0401E8745}">
  <dimension ref="B9:Q33"/>
  <sheetViews>
    <sheetView topLeftCell="G1" workbookViewId="0">
      <selection activeCell="R5" sqref="R5"/>
    </sheetView>
  </sheetViews>
  <sheetFormatPr baseColWidth="10" defaultColWidth="11" defaultRowHeight="16" x14ac:dyDescent="0.2"/>
  <sheetData>
    <row r="9" spans="2:17" x14ac:dyDescent="0.2">
      <c r="B9" s="31" t="s">
        <v>7</v>
      </c>
      <c r="C9" s="31" t="s">
        <v>9</v>
      </c>
      <c r="D9" s="30" t="s">
        <v>126</v>
      </c>
      <c r="E9" s="30" t="s">
        <v>127</v>
      </c>
      <c r="F9" s="30" t="s">
        <v>128</v>
      </c>
      <c r="G9" s="30" t="s">
        <v>129</v>
      </c>
      <c r="H9" s="43" t="s">
        <v>130</v>
      </c>
      <c r="I9" s="43" t="s">
        <v>131</v>
      </c>
      <c r="J9" s="43" t="s">
        <v>132</v>
      </c>
      <c r="K9" s="43" t="s">
        <v>133</v>
      </c>
      <c r="L9" s="43" t="s">
        <v>134</v>
      </c>
      <c r="O9" s="31"/>
      <c r="P9" s="31" t="s">
        <v>135</v>
      </c>
      <c r="Q9" s="44" t="s">
        <v>134</v>
      </c>
    </row>
    <row r="10" spans="2:17" x14ac:dyDescent="0.2">
      <c r="B10" s="32">
        <v>2.1</v>
      </c>
      <c r="C10" s="32" t="s">
        <v>45</v>
      </c>
      <c r="D10" s="45">
        <v>85.280251399999997</v>
      </c>
      <c r="E10" s="45">
        <v>62.084507000000002</v>
      </c>
      <c r="F10" s="45">
        <v>71.803894</v>
      </c>
      <c r="G10" s="45">
        <v>3.8117839999999998</v>
      </c>
      <c r="H10" s="16">
        <f t="shared" ref="H10:H33" si="0">(D10-AVERAGE($D$10:$D$33))/_xlfn.STDEV.S($D$10:$D$33)</f>
        <v>0.24230853489616982</v>
      </c>
      <c r="I10" s="16">
        <f t="shared" ref="I10:I33" si="1">(E10-AVERAGE($E$10:$E$33))/_xlfn.STDEV.S($E$10:$E$33)</f>
        <v>1.2441114427433164</v>
      </c>
      <c r="J10" s="16">
        <f t="shared" ref="J10:J33" si="2">(F10-AVERAGE($F$10:$F$33))/_xlfn.STDEV.S($F$10:$F$33)</f>
        <v>-0.52630645379180974</v>
      </c>
      <c r="K10" s="16">
        <f t="shared" ref="K10:K33" si="3">(G10-AVERAGE($G$10:$G$33))/_xlfn.STDEV.S($G$10:$G$33)</f>
        <v>-0.41969586441587092</v>
      </c>
      <c r="L10" s="14">
        <f t="shared" ref="L10:L33" si="4">(0.5*I10)+(0.2*H10)+(0.2*J10)-(0.1*K10)</f>
        <v>0.60722572403411723</v>
      </c>
      <c r="O10" s="32"/>
      <c r="P10" s="32" t="str">
        <f xml:space="preserve"> B10 &amp; " " &amp; C10</f>
        <v>2.1 Tree</v>
      </c>
      <c r="Q10" s="37">
        <v>0.61</v>
      </c>
    </row>
    <row r="11" spans="2:17" x14ac:dyDescent="0.2">
      <c r="B11" s="32">
        <v>2.7</v>
      </c>
      <c r="C11" s="32" t="s">
        <v>78</v>
      </c>
      <c r="D11" s="45">
        <v>86.851754799999995</v>
      </c>
      <c r="E11" s="45">
        <v>59.151462600000002</v>
      </c>
      <c r="F11" s="45">
        <v>79.213529800000003</v>
      </c>
      <c r="G11" s="45">
        <v>13.149196</v>
      </c>
      <c r="H11" s="16">
        <f t="shared" si="0"/>
        <v>0.7176822477766801</v>
      </c>
      <c r="I11" s="16">
        <f t="shared" si="1"/>
        <v>0.69674959038598527</v>
      </c>
      <c r="J11" s="16">
        <f t="shared" si="2"/>
        <v>0.3052027200321964</v>
      </c>
      <c r="K11" s="16">
        <f t="shared" si="3"/>
        <v>-0.33397488308907508</v>
      </c>
      <c r="L11" s="14">
        <f t="shared" si="4"/>
        <v>0.58634927706367557</v>
      </c>
      <c r="O11" s="32"/>
      <c r="P11" s="32" t="str">
        <f t="shared" ref="P11:P33" si="5" xml:space="preserve"> B11 &amp; " " &amp; C11</f>
        <v>2.7 Naive Bayes</v>
      </c>
      <c r="Q11" s="37">
        <v>0.59</v>
      </c>
    </row>
    <row r="12" spans="2:17" x14ac:dyDescent="0.2">
      <c r="B12" s="32">
        <v>2.8</v>
      </c>
      <c r="C12" s="32" t="s">
        <v>78</v>
      </c>
      <c r="D12" s="45">
        <v>86.066003100000003</v>
      </c>
      <c r="E12" s="45">
        <v>59.592416</v>
      </c>
      <c r="F12" s="45">
        <v>73.370816199999993</v>
      </c>
      <c r="G12" s="45">
        <v>29.570913999999998</v>
      </c>
      <c r="H12" s="16">
        <f t="shared" si="0"/>
        <v>0.4799953913364271</v>
      </c>
      <c r="I12" s="16">
        <f t="shared" si="1"/>
        <v>0.77903987887505899</v>
      </c>
      <c r="J12" s="16">
        <f t="shared" si="2"/>
        <v>-0.35046647742367465</v>
      </c>
      <c r="K12" s="16">
        <f t="shared" si="3"/>
        <v>-0.18321728751206651</v>
      </c>
      <c r="L12" s="14">
        <f t="shared" si="4"/>
        <v>0.43374745097128664</v>
      </c>
      <c r="O12" s="32"/>
      <c r="P12" s="32" t="str">
        <f t="shared" si="5"/>
        <v>2.8 Naive Bayes</v>
      </c>
      <c r="Q12" s="37">
        <v>0.43</v>
      </c>
    </row>
    <row r="13" spans="2:17" x14ac:dyDescent="0.2">
      <c r="B13" s="32">
        <v>2.1</v>
      </c>
      <c r="C13" s="32" t="s">
        <v>51</v>
      </c>
      <c r="D13" s="45">
        <v>86.013619700000007</v>
      </c>
      <c r="E13" s="45">
        <v>57.8267606</v>
      </c>
      <c r="F13" s="45">
        <v>76.259905500000002</v>
      </c>
      <c r="G13" s="45">
        <v>31.290209000000001</v>
      </c>
      <c r="H13" s="16">
        <f t="shared" si="0"/>
        <v>0.46414961502356433</v>
      </c>
      <c r="I13" s="16">
        <f t="shared" si="1"/>
        <v>0.44953501001977525</v>
      </c>
      <c r="J13" s="16">
        <f t="shared" si="2"/>
        <v>-2.6252936867905013E-2</v>
      </c>
      <c r="K13" s="16">
        <f t="shared" si="3"/>
        <v>-0.16743350774629698</v>
      </c>
      <c r="L13" s="14">
        <f t="shared" si="4"/>
        <v>0.32909019141564916</v>
      </c>
      <c r="O13" s="32"/>
      <c r="P13" s="32" t="str">
        <f t="shared" si="5"/>
        <v>2.1 SVM</v>
      </c>
      <c r="Q13" s="37">
        <v>0.33</v>
      </c>
    </row>
    <row r="14" spans="2:17" x14ac:dyDescent="0.2">
      <c r="B14" s="32">
        <v>2.12</v>
      </c>
      <c r="C14" s="32" t="s">
        <v>51</v>
      </c>
      <c r="D14" s="45">
        <v>86.118386599999994</v>
      </c>
      <c r="E14" s="45">
        <v>57.848970700000002</v>
      </c>
      <c r="F14" s="45">
        <v>74.463759899999999</v>
      </c>
      <c r="G14" s="45">
        <v>0.78730199999999995</v>
      </c>
      <c r="H14" s="16">
        <f t="shared" si="0"/>
        <v>0.49584119789890208</v>
      </c>
      <c r="I14" s="16">
        <f t="shared" si="1"/>
        <v>0.45367983697058539</v>
      </c>
      <c r="J14" s="16">
        <f t="shared" si="2"/>
        <v>-0.22781635836881403</v>
      </c>
      <c r="K14" s="16">
        <f t="shared" si="3"/>
        <v>-0.447461755547721</v>
      </c>
      <c r="L14" s="14">
        <f t="shared" si="4"/>
        <v>0.32519106194608238</v>
      </c>
      <c r="O14" s="32"/>
      <c r="P14" s="32" t="str">
        <f t="shared" si="5"/>
        <v>2.12 SVM</v>
      </c>
      <c r="Q14" s="37">
        <v>0.33</v>
      </c>
    </row>
    <row r="15" spans="2:17" x14ac:dyDescent="0.2">
      <c r="B15" s="32">
        <v>2.15</v>
      </c>
      <c r="C15" s="32" t="s">
        <v>58</v>
      </c>
      <c r="D15" s="45">
        <v>85.437401800000004</v>
      </c>
      <c r="E15" s="45">
        <v>59.1172264</v>
      </c>
      <c r="F15" s="45">
        <v>71.822066899999996</v>
      </c>
      <c r="G15" s="45">
        <v>58.458947000000002</v>
      </c>
      <c r="H15" s="16">
        <f t="shared" si="0"/>
        <v>0.2898459243339912</v>
      </c>
      <c r="I15" s="16">
        <f t="shared" si="1"/>
        <v>0.6903604645174245</v>
      </c>
      <c r="J15" s="16">
        <f t="shared" si="2"/>
        <v>-0.52426709133556282</v>
      </c>
      <c r="K15" s="16">
        <f t="shared" si="3"/>
        <v>8.1985804882363775E-2</v>
      </c>
      <c r="L15" s="14">
        <f t="shared" si="4"/>
        <v>0.29009741837016156</v>
      </c>
      <c r="O15" s="32"/>
      <c r="P15" s="32" t="str">
        <f t="shared" si="5"/>
        <v>2.15 Ensemble</v>
      </c>
      <c r="Q15" s="37">
        <v>0.28999999999999998</v>
      </c>
    </row>
    <row r="16" spans="2:17" x14ac:dyDescent="0.2">
      <c r="B16" s="32">
        <v>2.9</v>
      </c>
      <c r="C16" s="32" t="s">
        <v>51</v>
      </c>
      <c r="D16" s="45">
        <v>69.931901499999995</v>
      </c>
      <c r="E16" s="45">
        <v>70.715492999999995</v>
      </c>
      <c r="F16" s="45">
        <v>62.355408300000001</v>
      </c>
      <c r="G16" s="45">
        <v>9.5760799999999993</v>
      </c>
      <c r="H16" s="16">
        <f t="shared" si="0"/>
        <v>-4.4005080689700522</v>
      </c>
      <c r="I16" s="16">
        <f t="shared" si="1"/>
        <v>2.8548175352355369</v>
      </c>
      <c r="J16" s="16">
        <f t="shared" si="2"/>
        <v>-1.5866153205643077</v>
      </c>
      <c r="K16" s="16">
        <f t="shared" si="3"/>
        <v>-0.36677744229011233</v>
      </c>
      <c r="L16" s="14">
        <f t="shared" si="4"/>
        <v>0.26666183393990761</v>
      </c>
      <c r="O16" s="32"/>
      <c r="P16" s="32" t="str">
        <f t="shared" si="5"/>
        <v>2.9 SVM</v>
      </c>
      <c r="Q16" s="37">
        <v>0.27</v>
      </c>
    </row>
    <row r="17" spans="2:17" x14ac:dyDescent="0.2">
      <c r="B17" s="32">
        <v>2.2200000000000002</v>
      </c>
      <c r="C17" s="32" t="s">
        <v>62</v>
      </c>
      <c r="D17" s="45">
        <v>83.918281800000003</v>
      </c>
      <c r="E17" s="45">
        <v>60.404225400000001</v>
      </c>
      <c r="F17" s="45">
        <v>66.594951199999997</v>
      </c>
      <c r="G17" s="45">
        <v>1.078792</v>
      </c>
      <c r="H17" s="16">
        <f t="shared" si="0"/>
        <v>-0.16968201223365631</v>
      </c>
      <c r="I17" s="16">
        <f t="shared" si="1"/>
        <v>0.93053894821921701</v>
      </c>
      <c r="J17" s="16">
        <f t="shared" si="2"/>
        <v>-1.1108539053851127</v>
      </c>
      <c r="K17" s="16">
        <f t="shared" si="3"/>
        <v>-0.44478576686403132</v>
      </c>
      <c r="L17" s="14">
        <f t="shared" si="4"/>
        <v>0.25364086727225782</v>
      </c>
      <c r="O17" s="32"/>
      <c r="P17" s="32" t="str">
        <f t="shared" si="5"/>
        <v>2.22 Neural Network</v>
      </c>
      <c r="Q17" s="37">
        <v>0.25</v>
      </c>
    </row>
    <row r="18" spans="2:17" x14ac:dyDescent="0.2">
      <c r="B18" s="32">
        <v>2.19</v>
      </c>
      <c r="C18" s="32" t="s">
        <v>62</v>
      </c>
      <c r="D18" s="45">
        <v>86.013619700000007</v>
      </c>
      <c r="E18" s="45">
        <v>55.980036300000002</v>
      </c>
      <c r="F18" s="45">
        <v>75.787673799999993</v>
      </c>
      <c r="G18" s="45">
        <v>2.860433</v>
      </c>
      <c r="H18" s="16">
        <f t="shared" si="0"/>
        <v>0.46414961502356433</v>
      </c>
      <c r="I18" s="16">
        <f t="shared" si="1"/>
        <v>0.10490114302434385</v>
      </c>
      <c r="J18" s="16">
        <f t="shared" si="2"/>
        <v>-7.9246768321876493E-2</v>
      </c>
      <c r="K18" s="16">
        <f t="shared" si="3"/>
        <v>-0.42842962718720717</v>
      </c>
      <c r="L18" s="14">
        <f t="shared" si="4"/>
        <v>0.17227410357123024</v>
      </c>
      <c r="O18" s="32"/>
      <c r="P18" s="32" t="str">
        <f t="shared" si="5"/>
        <v>2.19 Neural Network</v>
      </c>
      <c r="Q18" s="37">
        <v>0.17</v>
      </c>
    </row>
    <row r="19" spans="2:17" x14ac:dyDescent="0.2">
      <c r="B19" s="32">
        <v>2.11</v>
      </c>
      <c r="C19" s="32" t="s">
        <v>51</v>
      </c>
      <c r="D19" s="45">
        <v>85.437401800000004</v>
      </c>
      <c r="E19" s="45">
        <v>57.448970699999997</v>
      </c>
      <c r="F19" s="45">
        <v>70.149463699999998</v>
      </c>
      <c r="G19" s="45">
        <v>44.940085000000003</v>
      </c>
      <c r="H19" s="16">
        <f t="shared" si="0"/>
        <v>0.2898459243339912</v>
      </c>
      <c r="I19" s="16">
        <f t="shared" si="1"/>
        <v>0.37903223158727256</v>
      </c>
      <c r="J19" s="16">
        <f t="shared" si="2"/>
        <v>-0.71196658730368934</v>
      </c>
      <c r="K19" s="16">
        <f t="shared" si="3"/>
        <v>-4.2122472342795578E-2</v>
      </c>
      <c r="L19" s="14">
        <f t="shared" si="4"/>
        <v>0.1093042304339762</v>
      </c>
      <c r="O19" s="32"/>
      <c r="P19" s="32" t="str">
        <f t="shared" si="5"/>
        <v>2.11 SVM</v>
      </c>
      <c r="Q19" s="37">
        <v>0.11</v>
      </c>
    </row>
    <row r="20" spans="2:17" x14ac:dyDescent="0.2">
      <c r="B20" s="32">
        <v>2.14</v>
      </c>
      <c r="C20" s="32" t="s">
        <v>51</v>
      </c>
      <c r="D20" s="45">
        <v>85.227868000000001</v>
      </c>
      <c r="E20" s="45">
        <v>57.004550399999999</v>
      </c>
      <c r="F20" s="45">
        <v>71.485145900000006</v>
      </c>
      <c r="G20" s="45">
        <v>41.586708000000002</v>
      </c>
      <c r="H20" s="16">
        <f t="shared" si="0"/>
        <v>0.22646275858330706</v>
      </c>
      <c r="I20" s="16">
        <f t="shared" si="1"/>
        <v>0.29609495364044047</v>
      </c>
      <c r="J20" s="16">
        <f t="shared" si="2"/>
        <v>-0.56207635887796337</v>
      </c>
      <c r="K20" s="16">
        <f t="shared" si="3"/>
        <v>-7.2907744235982549E-2</v>
      </c>
      <c r="L20" s="14">
        <f t="shared" si="4"/>
        <v>8.8215531184887216E-2</v>
      </c>
      <c r="O20" s="32"/>
      <c r="P20" s="32" t="str">
        <f t="shared" si="5"/>
        <v>2.14 SVM</v>
      </c>
      <c r="Q20" s="37">
        <v>0.09</v>
      </c>
    </row>
    <row r="21" spans="2:17" x14ac:dyDescent="0.2">
      <c r="B21" s="32">
        <v>2.23</v>
      </c>
      <c r="C21" s="32" t="s">
        <v>69</v>
      </c>
      <c r="D21" s="45">
        <v>83.918281800000003</v>
      </c>
      <c r="E21" s="45">
        <v>58.7223185</v>
      </c>
      <c r="F21" s="45">
        <v>66.253533099999999</v>
      </c>
      <c r="G21" s="45">
        <v>48.834110000000003</v>
      </c>
      <c r="H21" s="16">
        <f t="shared" si="0"/>
        <v>-0.16968201223365631</v>
      </c>
      <c r="I21" s="16">
        <f t="shared" si="1"/>
        <v>0.61666314181254367</v>
      </c>
      <c r="J21" s="16">
        <f t="shared" si="2"/>
        <v>-1.1491678373950451</v>
      </c>
      <c r="K21" s="16">
        <f t="shared" si="3"/>
        <v>-6.3738468873614507E-3</v>
      </c>
      <c r="L21" s="14">
        <f t="shared" si="4"/>
        <v>4.5198985669267694E-2</v>
      </c>
      <c r="O21" s="32"/>
      <c r="P21" s="32" t="str">
        <f t="shared" si="5"/>
        <v>2.23 Kernel</v>
      </c>
      <c r="Q21" s="37">
        <v>0.05</v>
      </c>
    </row>
    <row r="22" spans="2:17" x14ac:dyDescent="0.2">
      <c r="B22" s="32">
        <v>2.1800000000000002</v>
      </c>
      <c r="C22" s="32" t="s">
        <v>62</v>
      </c>
      <c r="D22" s="45">
        <v>85.1231011</v>
      </c>
      <c r="E22" s="45">
        <v>50.528168999999998</v>
      </c>
      <c r="F22" s="45">
        <v>92.628541400000003</v>
      </c>
      <c r="G22" s="45">
        <v>1.4101220000000001</v>
      </c>
      <c r="H22" s="16">
        <f t="shared" si="0"/>
        <v>0.19477117570796498</v>
      </c>
      <c r="I22" s="16">
        <f t="shared" si="1"/>
        <v>-0.91252095400711053</v>
      </c>
      <c r="J22" s="16">
        <f t="shared" si="2"/>
        <v>1.8106350399790758</v>
      </c>
      <c r="K22" s="16">
        <f t="shared" si="3"/>
        <v>-0.44174403187975436</v>
      </c>
      <c r="L22" s="14">
        <f t="shared" si="4"/>
        <v>-1.1004830678171595E-2</v>
      </c>
      <c r="O22" s="32"/>
      <c r="P22" s="32" t="str">
        <f t="shared" si="5"/>
        <v>2.18 Neural Network</v>
      </c>
      <c r="Q22" s="37">
        <v>-0.01</v>
      </c>
    </row>
    <row r="23" spans="2:17" x14ac:dyDescent="0.2">
      <c r="B23" s="32">
        <v>2.5</v>
      </c>
      <c r="C23" s="32" t="s">
        <v>74</v>
      </c>
      <c r="D23" s="45">
        <v>85.437401800000004</v>
      </c>
      <c r="E23" s="45">
        <v>51.346912199999998</v>
      </c>
      <c r="F23" s="45">
        <v>82.733017399999994</v>
      </c>
      <c r="G23" s="45">
        <v>33.770479999999999</v>
      </c>
      <c r="H23" s="16">
        <f t="shared" si="0"/>
        <v>0.2898459243339912</v>
      </c>
      <c r="I23" s="16">
        <f t="shared" si="1"/>
        <v>-0.75972790574743565</v>
      </c>
      <c r="J23" s="16">
        <f t="shared" si="2"/>
        <v>0.70015954457137619</v>
      </c>
      <c r="K23" s="16">
        <f t="shared" si="3"/>
        <v>-0.1446636798671809</v>
      </c>
      <c r="L23" s="14">
        <f t="shared" si="4"/>
        <v>-0.16739649110592625</v>
      </c>
      <c r="O23" s="32"/>
      <c r="P23" s="32" t="str">
        <f t="shared" si="5"/>
        <v>2.5 Efficient Logistic Regression</v>
      </c>
      <c r="Q23" s="37">
        <v>-0.17</v>
      </c>
    </row>
    <row r="24" spans="2:17" x14ac:dyDescent="0.2">
      <c r="B24" s="32">
        <v>2.21</v>
      </c>
      <c r="C24" s="32" t="s">
        <v>62</v>
      </c>
      <c r="D24" s="45">
        <v>85.1231011</v>
      </c>
      <c r="E24" s="45">
        <v>50</v>
      </c>
      <c r="F24" s="45">
        <v>85.1231011</v>
      </c>
      <c r="G24" s="45">
        <v>0.73260700000000001</v>
      </c>
      <c r="H24" s="16">
        <f t="shared" si="0"/>
        <v>0.19477117570796498</v>
      </c>
      <c r="I24" s="16">
        <f t="shared" si="1"/>
        <v>-1.0110873317263562</v>
      </c>
      <c r="J24" s="16">
        <f t="shared" si="2"/>
        <v>0.96837468717760611</v>
      </c>
      <c r="K24" s="16">
        <f t="shared" si="3"/>
        <v>-0.44796387637881085</v>
      </c>
      <c r="L24" s="14">
        <f t="shared" si="4"/>
        <v>-0.2281181056481828</v>
      </c>
      <c r="O24" s="32"/>
      <c r="P24" s="32" t="str">
        <f t="shared" si="5"/>
        <v>2.21 Neural Network</v>
      </c>
      <c r="Q24" s="37">
        <v>-0.23</v>
      </c>
    </row>
    <row r="25" spans="2:17" x14ac:dyDescent="0.2">
      <c r="B25" s="32">
        <v>2.2000000000000002</v>
      </c>
      <c r="C25" s="32" t="s">
        <v>62</v>
      </c>
      <c r="D25" s="45">
        <v>85.1231011</v>
      </c>
      <c r="E25" s="45">
        <v>50</v>
      </c>
      <c r="F25" s="45">
        <v>85.1231011</v>
      </c>
      <c r="G25" s="45">
        <v>1.0630630000000001</v>
      </c>
      <c r="H25" s="16">
        <f t="shared" si="0"/>
        <v>0.19477117570796498</v>
      </c>
      <c r="I25" s="16">
        <f t="shared" si="1"/>
        <v>-1.0110873317263562</v>
      </c>
      <c r="J25" s="16">
        <f t="shared" si="2"/>
        <v>0.96837468717760611</v>
      </c>
      <c r="K25" s="16">
        <f t="shared" si="3"/>
        <v>-0.4449301650458069</v>
      </c>
      <c r="L25" s="14">
        <f t="shared" si="4"/>
        <v>-0.22842147678148317</v>
      </c>
      <c r="O25" s="32"/>
      <c r="P25" s="32" t="str">
        <f t="shared" si="5"/>
        <v>2.2 Neural Network</v>
      </c>
      <c r="Q25" s="37">
        <v>-0.23</v>
      </c>
    </row>
    <row r="26" spans="2:17" x14ac:dyDescent="0.2">
      <c r="B26" s="32">
        <v>2.2400000000000002</v>
      </c>
      <c r="C26" s="32" t="s">
        <v>69</v>
      </c>
      <c r="D26" s="45">
        <v>85.1231011</v>
      </c>
      <c r="E26" s="45">
        <v>50</v>
      </c>
      <c r="F26" s="45">
        <v>85.1231011</v>
      </c>
      <c r="G26" s="45">
        <v>9.5558730000000001</v>
      </c>
      <c r="H26" s="16">
        <f t="shared" si="0"/>
        <v>0.19477117570796498</v>
      </c>
      <c r="I26" s="16">
        <f t="shared" si="1"/>
        <v>-1.0110873317263562</v>
      </c>
      <c r="J26" s="16">
        <f t="shared" si="2"/>
        <v>0.96837468717760611</v>
      </c>
      <c r="K26" s="16">
        <f t="shared" si="3"/>
        <v>-0.36696295020918784</v>
      </c>
      <c r="L26" s="14">
        <f t="shared" si="4"/>
        <v>-0.23621819826514509</v>
      </c>
      <c r="O26" s="32"/>
      <c r="P26" s="32" t="str">
        <f t="shared" si="5"/>
        <v>2.24 Kernel</v>
      </c>
      <c r="Q26" s="37">
        <v>-0.24</v>
      </c>
    </row>
    <row r="27" spans="2:17" x14ac:dyDescent="0.2">
      <c r="B27" s="32">
        <v>2.6</v>
      </c>
      <c r="C27" s="32" t="s">
        <v>76</v>
      </c>
      <c r="D27" s="45">
        <v>85.1231011</v>
      </c>
      <c r="E27" s="45">
        <v>50</v>
      </c>
      <c r="F27" s="45">
        <v>85.1231011</v>
      </c>
      <c r="G27" s="45">
        <v>36.533296</v>
      </c>
      <c r="H27" s="16">
        <f t="shared" si="0"/>
        <v>0.19477117570796498</v>
      </c>
      <c r="I27" s="16">
        <f t="shared" si="1"/>
        <v>-1.0110873317263562</v>
      </c>
      <c r="J27" s="16">
        <f t="shared" si="2"/>
        <v>0.96837468717760611</v>
      </c>
      <c r="K27" s="16">
        <f t="shared" si="3"/>
        <v>-0.11929998179480572</v>
      </c>
      <c r="L27" s="14">
        <f t="shared" si="4"/>
        <v>-0.26098449510658328</v>
      </c>
      <c r="O27" s="32"/>
      <c r="P27" s="32" t="str">
        <f t="shared" si="5"/>
        <v>2.6 Efficient Linear SVM</v>
      </c>
      <c r="Q27" s="37">
        <v>-0.26</v>
      </c>
    </row>
    <row r="28" spans="2:17" x14ac:dyDescent="0.2">
      <c r="B28" s="32">
        <v>2.16</v>
      </c>
      <c r="C28" s="32" t="s">
        <v>58</v>
      </c>
      <c r="D28" s="45">
        <v>85.1231011</v>
      </c>
      <c r="E28" s="45">
        <v>50</v>
      </c>
      <c r="F28" s="45">
        <v>85.1231011</v>
      </c>
      <c r="G28" s="45">
        <v>36.753915999999997</v>
      </c>
      <c r="H28" s="16">
        <f t="shared" si="0"/>
        <v>0.19477117570796498</v>
      </c>
      <c r="I28" s="16">
        <f t="shared" si="1"/>
        <v>-1.0110873317263562</v>
      </c>
      <c r="J28" s="16">
        <f t="shared" si="2"/>
        <v>0.96837468717760611</v>
      </c>
      <c r="K28" s="16">
        <f t="shared" si="3"/>
        <v>-0.11727460657302934</v>
      </c>
      <c r="L28" s="14">
        <f t="shared" si="4"/>
        <v>-0.26118703262876092</v>
      </c>
      <c r="O28" s="32"/>
      <c r="P28" s="32" t="str">
        <f t="shared" si="5"/>
        <v>2.16 Ensemble</v>
      </c>
      <c r="Q28" s="37">
        <v>-0.26</v>
      </c>
    </row>
    <row r="29" spans="2:17" x14ac:dyDescent="0.2">
      <c r="B29" s="32">
        <v>2.4</v>
      </c>
      <c r="C29" s="32" t="s">
        <v>73</v>
      </c>
      <c r="D29" s="45">
        <v>85.1231011</v>
      </c>
      <c r="E29" s="45">
        <v>50</v>
      </c>
      <c r="F29" s="45">
        <v>85.1231011</v>
      </c>
      <c r="G29" s="45">
        <v>42.573500000000003</v>
      </c>
      <c r="H29" s="16">
        <f t="shared" si="0"/>
        <v>0.19477117570796498</v>
      </c>
      <c r="I29" s="16">
        <f t="shared" si="1"/>
        <v>-1.0110873317263562</v>
      </c>
      <c r="J29" s="16">
        <f t="shared" si="2"/>
        <v>0.96837468717760611</v>
      </c>
      <c r="K29" s="16">
        <f t="shared" si="3"/>
        <v>-6.3848619651415472E-2</v>
      </c>
      <c r="L29" s="14">
        <f t="shared" si="4"/>
        <v>-0.26652963132092233</v>
      </c>
      <c r="O29" s="32"/>
      <c r="P29" s="32" t="str">
        <f t="shared" si="5"/>
        <v>2.4 Binary GLM Logistic Regression</v>
      </c>
      <c r="Q29" s="37">
        <v>-0.27</v>
      </c>
    </row>
    <row r="30" spans="2:17" x14ac:dyDescent="0.2">
      <c r="B30" s="32">
        <v>2.2000000000000002</v>
      </c>
      <c r="C30" s="32" t="s">
        <v>45</v>
      </c>
      <c r="D30" s="45">
        <v>85.1231011</v>
      </c>
      <c r="E30" s="45">
        <v>50</v>
      </c>
      <c r="F30" s="45">
        <v>85.1231011</v>
      </c>
      <c r="G30" s="45">
        <v>62.572848</v>
      </c>
      <c r="H30" s="16">
        <f t="shared" si="0"/>
        <v>0.19477117570796498</v>
      </c>
      <c r="I30" s="16">
        <f t="shared" si="1"/>
        <v>-1.0110873317263562</v>
      </c>
      <c r="J30" s="16">
        <f t="shared" si="2"/>
        <v>0.96837468717760611</v>
      </c>
      <c r="K30" s="16">
        <f t="shared" si="3"/>
        <v>0.11975297535757538</v>
      </c>
      <c r="L30" s="14">
        <f t="shared" si="4"/>
        <v>-0.28488979082182142</v>
      </c>
      <c r="O30" s="32"/>
      <c r="P30" s="32" t="str">
        <f t="shared" si="5"/>
        <v>2.2 Tree</v>
      </c>
      <c r="Q30" s="37">
        <v>-0.28000000000000003</v>
      </c>
    </row>
    <row r="31" spans="2:17" x14ac:dyDescent="0.2">
      <c r="B31" s="32">
        <v>2.13</v>
      </c>
      <c r="C31" s="32" t="s">
        <v>51</v>
      </c>
      <c r="D31" s="45">
        <v>80.618124699999996</v>
      </c>
      <c r="E31" s="45">
        <v>58.5802817</v>
      </c>
      <c r="F31" s="45">
        <v>60.177759999999999</v>
      </c>
      <c r="G31" s="45">
        <v>94.005886000000004</v>
      </c>
      <c r="H31" s="16">
        <f t="shared" si="0"/>
        <v>-1.167966797182886</v>
      </c>
      <c r="I31" s="16">
        <f t="shared" si="1"/>
        <v>0.59015637432177281</v>
      </c>
      <c r="J31" s="16">
        <f t="shared" si="2"/>
        <v>-1.8309909670451039</v>
      </c>
      <c r="K31" s="16">
        <f t="shared" si="3"/>
        <v>0.40832017828730194</v>
      </c>
      <c r="L31" s="14">
        <f t="shared" si="4"/>
        <v>-0.34554538351344183</v>
      </c>
      <c r="O31" s="32"/>
      <c r="P31" s="32" t="str">
        <f t="shared" si="5"/>
        <v>2.13 SVM</v>
      </c>
      <c r="Q31" s="37">
        <v>-0.35</v>
      </c>
    </row>
    <row r="32" spans="2:17" x14ac:dyDescent="0.2">
      <c r="B32" s="32">
        <v>2.2999999999999998</v>
      </c>
      <c r="C32" s="32" t="s">
        <v>45</v>
      </c>
      <c r="D32" s="45">
        <v>85.646935600000006</v>
      </c>
      <c r="E32" s="45">
        <v>52.499135799999998</v>
      </c>
      <c r="F32" s="45">
        <v>81.749808999999999</v>
      </c>
      <c r="G32" s="45">
        <v>548.01214900000002</v>
      </c>
      <c r="H32" s="16">
        <f t="shared" si="0"/>
        <v>0.35322909008467535</v>
      </c>
      <c r="I32" s="16">
        <f t="shared" si="1"/>
        <v>-0.54470107423208858</v>
      </c>
      <c r="J32" s="16">
        <f t="shared" si="2"/>
        <v>0.58982391857734029</v>
      </c>
      <c r="K32" s="16">
        <f t="shared" si="3"/>
        <v>4.5762697549870728</v>
      </c>
      <c r="L32" s="14">
        <f t="shared" si="4"/>
        <v>-0.54136691088234845</v>
      </c>
      <c r="O32" s="32"/>
      <c r="P32" s="32" t="str">
        <f t="shared" si="5"/>
        <v>2.3 Tree</v>
      </c>
      <c r="Q32" s="37">
        <v>-0.54</v>
      </c>
    </row>
    <row r="33" spans="2:17" x14ac:dyDescent="0.2">
      <c r="B33" s="32">
        <v>2.17</v>
      </c>
      <c r="C33" s="32" t="s">
        <v>58</v>
      </c>
      <c r="D33" s="45">
        <v>84.599266600000007</v>
      </c>
      <c r="E33" s="45">
        <v>51.178701099999998</v>
      </c>
      <c r="F33" s="45">
        <v>63.141349900000002</v>
      </c>
      <c r="G33" s="45">
        <v>35.753304</v>
      </c>
      <c r="H33" s="16">
        <f t="shared" si="0"/>
        <v>3.6313261331258909E-2</v>
      </c>
      <c r="I33" s="16">
        <f t="shared" si="1"/>
        <v>-0.79111929528216773</v>
      </c>
      <c r="J33" s="16">
        <f t="shared" si="2"/>
        <v>-1.4984169707223467</v>
      </c>
      <c r="K33" s="16">
        <f t="shared" si="3"/>
        <v>-0.12646060399580211</v>
      </c>
      <c r="L33" s="14">
        <f t="shared" si="4"/>
        <v>-0.67533432911972135</v>
      </c>
      <c r="O33" s="32"/>
      <c r="P33" s="32" t="str">
        <f t="shared" si="5"/>
        <v>2.17 Ensemble</v>
      </c>
      <c r="Q33" s="37">
        <v>-0.68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49FA-B949-4D33-B39F-7FD4E40FDADD}">
  <dimension ref="B9:Q33"/>
  <sheetViews>
    <sheetView topLeftCell="B3" workbookViewId="0">
      <selection activeCell="V7" sqref="V7"/>
    </sheetView>
  </sheetViews>
  <sheetFormatPr baseColWidth="10" defaultColWidth="11" defaultRowHeight="16" x14ac:dyDescent="0.2"/>
  <cols>
    <col min="4" max="6" width="11.6640625" bestFit="1" customWidth="1"/>
    <col min="7" max="7" width="12.6640625" bestFit="1" customWidth="1"/>
    <col min="8" max="12" width="11.33203125" bestFit="1" customWidth="1"/>
  </cols>
  <sheetData>
    <row r="9" spans="2:17" x14ac:dyDescent="0.2">
      <c r="B9" s="31" t="s">
        <v>7</v>
      </c>
      <c r="C9" s="31" t="s">
        <v>9</v>
      </c>
      <c r="D9" s="31" t="s">
        <v>126</v>
      </c>
      <c r="E9" s="31" t="s">
        <v>127</v>
      </c>
      <c r="F9" s="31" t="s">
        <v>128</v>
      </c>
      <c r="G9" s="31" t="s">
        <v>129</v>
      </c>
      <c r="H9" s="43" t="s">
        <v>130</v>
      </c>
      <c r="I9" s="43" t="s">
        <v>131</v>
      </c>
      <c r="J9" s="43" t="s">
        <v>132</v>
      </c>
      <c r="K9" s="43" t="s">
        <v>133</v>
      </c>
      <c r="L9" s="43" t="s">
        <v>134</v>
      </c>
      <c r="O9" s="31"/>
      <c r="P9" s="31" t="s">
        <v>135</v>
      </c>
      <c r="Q9" s="44" t="s">
        <v>134</v>
      </c>
    </row>
    <row r="10" spans="2:17" x14ac:dyDescent="0.2">
      <c r="B10" s="32">
        <v>2.2000000000000002</v>
      </c>
      <c r="C10" s="32" t="s">
        <v>45</v>
      </c>
      <c r="D10" s="45">
        <v>85.415896500000002</v>
      </c>
      <c r="E10" s="45">
        <v>83.429360099999997</v>
      </c>
      <c r="F10" s="45">
        <v>14.4316396</v>
      </c>
      <c r="G10" s="45">
        <v>106.409465</v>
      </c>
      <c r="H10" s="16">
        <f>(D10-AVERAGE($D$10:$D$33))/_xlfn.STDEV.S($D$10:$D$33)</f>
        <v>0.40884221827686568</v>
      </c>
      <c r="I10" s="16">
        <f t="shared" ref="I10:I33" si="0">(E10-AVERAGE($E$10:$E$33))/_xlfn.STDEV.S($E$10:$E$33)</f>
        <v>2.6205720270092225</v>
      </c>
      <c r="J10" s="16">
        <f t="shared" ref="J10:J33" si="1">(F10-AVERAGE($F$10:$F$33))/_xlfn.STDEV.S($F$10:$F$33)</f>
        <v>-1.4858343787694512</v>
      </c>
      <c r="K10" s="16">
        <f t="shared" ref="K10:K33" si="2">(G10-AVERAGE($G$10:$G$33))/_xlfn.STDEV.S($G$10:$G$33)</f>
        <v>1.7561579644781304</v>
      </c>
      <c r="L10" s="14">
        <f>(0.5*I10)+(0.2*H10)+(0.2*J10)-(0.1*K10)</f>
        <v>0.91927178495828099</v>
      </c>
      <c r="O10" s="32"/>
      <c r="P10" s="32" t="str">
        <f xml:space="preserve"> B10 &amp; " " &amp; C10</f>
        <v>2.2 Tree</v>
      </c>
      <c r="Q10" s="37">
        <v>0.91927177999999998</v>
      </c>
    </row>
    <row r="11" spans="2:17" x14ac:dyDescent="0.2">
      <c r="B11" s="32">
        <v>2.2999999999999998</v>
      </c>
      <c r="C11" s="32" t="s">
        <v>45</v>
      </c>
      <c r="D11" s="45">
        <v>84.057301300000006</v>
      </c>
      <c r="E11" s="45">
        <v>81.320557100000002</v>
      </c>
      <c r="F11" s="45">
        <v>15.5840754</v>
      </c>
      <c r="G11" s="45">
        <v>133.97675699999999</v>
      </c>
      <c r="H11" s="16">
        <f t="shared" ref="H11:H33" si="3">(D11-AVERAGE($D$10:$D$33))/_xlfn.STDEV.S($D$10:$D$33)</f>
        <v>-2.4049542720152226E-2</v>
      </c>
      <c r="I11" s="16">
        <f t="shared" si="0"/>
        <v>2.3963242983560944</v>
      </c>
      <c r="J11" s="16">
        <f t="shared" si="1"/>
        <v>-1.4443093856228062</v>
      </c>
      <c r="K11" s="16">
        <f t="shared" si="2"/>
        <v>2.4939799259177899</v>
      </c>
      <c r="L11" s="14">
        <f t="shared" ref="L11:L33" si="4">(0.5*I11)+(0.2*H11)+(0.2*J11)-(0.1*K11)</f>
        <v>0.65509237091767647</v>
      </c>
      <c r="O11" s="32"/>
      <c r="P11" s="32" t="str">
        <f t="shared" ref="P11:P33" si="5" xml:space="preserve"> B11 &amp; " " &amp; C11</f>
        <v>2.3 Tree</v>
      </c>
      <c r="Q11" s="37">
        <v>0.65509236999999998</v>
      </c>
    </row>
    <row r="12" spans="2:17" x14ac:dyDescent="0.2">
      <c r="B12" s="32">
        <v>2.19</v>
      </c>
      <c r="C12" s="32" t="s">
        <v>62</v>
      </c>
      <c r="D12" s="45">
        <v>86.072088699999995</v>
      </c>
      <c r="E12" s="45">
        <v>59.983857</v>
      </c>
      <c r="F12" s="45">
        <v>75.713209399999997</v>
      </c>
      <c r="G12" s="45">
        <v>2.4687480000000002</v>
      </c>
      <c r="H12" s="16">
        <f t="shared" si="3"/>
        <v>0.61792598142464139</v>
      </c>
      <c r="I12" s="16">
        <f t="shared" si="0"/>
        <v>0.12740371431956526</v>
      </c>
      <c r="J12" s="16">
        <f t="shared" si="1"/>
        <v>0.72228581843427175</v>
      </c>
      <c r="K12" s="16">
        <f t="shared" si="2"/>
        <v>-1.0257527030761777</v>
      </c>
      <c r="L12" s="14">
        <f t="shared" si="4"/>
        <v>0.43431948743918303</v>
      </c>
      <c r="O12" s="32"/>
      <c r="P12" s="32" t="str">
        <f t="shared" si="5"/>
        <v>2.19 Neural Network</v>
      </c>
      <c r="Q12" s="37">
        <v>0.43431948999999997</v>
      </c>
    </row>
    <row r="13" spans="2:17" x14ac:dyDescent="0.2">
      <c r="B13" s="32">
        <v>2.7</v>
      </c>
      <c r="C13" s="32" t="s">
        <v>78</v>
      </c>
      <c r="D13" s="45">
        <v>86.312384499999993</v>
      </c>
      <c r="E13" s="45">
        <v>60.0761647</v>
      </c>
      <c r="F13" s="45">
        <v>76.717629599999995</v>
      </c>
      <c r="G13" s="45">
        <v>21.029221</v>
      </c>
      <c r="H13" s="16">
        <f t="shared" si="3"/>
        <v>0.69449188716476673</v>
      </c>
      <c r="I13" s="16">
        <f t="shared" si="0"/>
        <v>0.13721961085527498</v>
      </c>
      <c r="J13" s="16">
        <f t="shared" si="1"/>
        <v>0.75847745871597028</v>
      </c>
      <c r="K13" s="16">
        <f t="shared" si="2"/>
        <v>-0.52899282567843264</v>
      </c>
      <c r="L13" s="14">
        <f t="shared" si="4"/>
        <v>0.4121029571716282</v>
      </c>
      <c r="O13" s="32"/>
      <c r="P13" s="32" t="str">
        <f t="shared" si="5"/>
        <v>2.7 Naive Bayes</v>
      </c>
      <c r="Q13" s="37">
        <v>0.41210296000000002</v>
      </c>
    </row>
    <row r="14" spans="2:17" x14ac:dyDescent="0.2">
      <c r="B14" s="32">
        <v>2.2200000000000002</v>
      </c>
      <c r="C14" s="32" t="s">
        <v>62</v>
      </c>
      <c r="D14" s="45">
        <v>83.622920500000006</v>
      </c>
      <c r="E14" s="45">
        <v>62.368147299999997</v>
      </c>
      <c r="F14" s="45">
        <v>66.481672900000007</v>
      </c>
      <c r="G14" s="45">
        <v>1.9412450000000001</v>
      </c>
      <c r="H14" s="16">
        <f t="shared" si="3"/>
        <v>-0.1624571194989409</v>
      </c>
      <c r="I14" s="16">
        <f t="shared" si="0"/>
        <v>0.38094645122988174</v>
      </c>
      <c r="J14" s="16">
        <f t="shared" si="1"/>
        <v>0.38965167959937941</v>
      </c>
      <c r="K14" s="16">
        <f t="shared" si="2"/>
        <v>-1.0398710030573766</v>
      </c>
      <c r="L14" s="14">
        <f t="shared" si="4"/>
        <v>0.33989923794076626</v>
      </c>
      <c r="O14" s="32"/>
      <c r="P14" s="32" t="str">
        <f t="shared" si="5"/>
        <v>2.22 Neural Network</v>
      </c>
      <c r="Q14" s="37">
        <v>0.33989923999999999</v>
      </c>
    </row>
    <row r="15" spans="2:17" x14ac:dyDescent="0.2">
      <c r="B15" s="32">
        <v>2.1</v>
      </c>
      <c r="C15" s="32" t="s">
        <v>45</v>
      </c>
      <c r="D15" s="45">
        <v>84.935305</v>
      </c>
      <c r="E15" s="45">
        <v>60.1564464</v>
      </c>
      <c r="F15" s="45">
        <v>70.711047500000006</v>
      </c>
      <c r="G15" s="45">
        <v>3.4451499999999999</v>
      </c>
      <c r="H15" s="16">
        <f t="shared" si="3"/>
        <v>0.25571043865980236</v>
      </c>
      <c r="I15" s="16">
        <f t="shared" si="0"/>
        <v>0.14575667613705426</v>
      </c>
      <c r="J15" s="16">
        <f t="shared" si="1"/>
        <v>0.54204607005444272</v>
      </c>
      <c r="K15" s="16">
        <f t="shared" si="2"/>
        <v>-0.99961989181587674</v>
      </c>
      <c r="L15" s="14">
        <f t="shared" si="4"/>
        <v>0.33239162899296382</v>
      </c>
      <c r="O15" s="32"/>
      <c r="P15" s="32" t="str">
        <f t="shared" si="5"/>
        <v>2.1 Tree</v>
      </c>
      <c r="Q15" s="37">
        <v>0.33239162999999999</v>
      </c>
    </row>
    <row r="16" spans="2:17" x14ac:dyDescent="0.2">
      <c r="B16" s="32">
        <v>2.8</v>
      </c>
      <c r="C16" s="32" t="s">
        <v>78</v>
      </c>
      <c r="D16" s="45">
        <v>85.9057301</v>
      </c>
      <c r="E16" s="45">
        <v>58.896749700000001</v>
      </c>
      <c r="F16" s="45">
        <v>74.065705399999999</v>
      </c>
      <c r="G16" s="45">
        <v>44.125030000000002</v>
      </c>
      <c r="H16" s="16">
        <f t="shared" si="3"/>
        <v>0.56491882571630625</v>
      </c>
      <c r="I16" s="16">
        <f t="shared" si="0"/>
        <v>1.180195216955158E-2</v>
      </c>
      <c r="J16" s="16">
        <f t="shared" si="1"/>
        <v>0.66292234473007949</v>
      </c>
      <c r="K16" s="16">
        <f t="shared" si="2"/>
        <v>8.9152587277462336E-2</v>
      </c>
      <c r="L16" s="14">
        <f t="shared" si="4"/>
        <v>0.2425539514463067</v>
      </c>
      <c r="O16" s="32"/>
      <c r="P16" s="32" t="str">
        <f t="shared" si="5"/>
        <v>2.8 Naive Bayes</v>
      </c>
      <c r="Q16" s="37">
        <v>0.24255394999999999</v>
      </c>
    </row>
    <row r="17" spans="2:17" x14ac:dyDescent="0.2">
      <c r="B17" s="32">
        <v>2.9</v>
      </c>
      <c r="C17" s="32" t="s">
        <v>51</v>
      </c>
      <c r="D17" s="45">
        <v>71.377079499999994</v>
      </c>
      <c r="E17" s="45">
        <v>76.299783300000001</v>
      </c>
      <c r="F17" s="45">
        <v>64.359003799999996</v>
      </c>
      <c r="G17" s="45">
        <v>18.297160999999999</v>
      </c>
      <c r="H17" s="16">
        <f t="shared" si="3"/>
        <v>-4.0643726241168752</v>
      </c>
      <c r="I17" s="16">
        <f t="shared" si="0"/>
        <v>1.8624208845563521</v>
      </c>
      <c r="J17" s="16">
        <f t="shared" si="1"/>
        <v>0.31316688120098279</v>
      </c>
      <c r="K17" s="16">
        <f t="shared" si="2"/>
        <v>-0.60211476554727561</v>
      </c>
      <c r="L17" s="14">
        <f t="shared" si="4"/>
        <v>0.24118077024972509</v>
      </c>
      <c r="O17" s="32"/>
      <c r="P17" s="32" t="str">
        <f t="shared" si="5"/>
        <v>2.9 SVM</v>
      </c>
      <c r="Q17" s="37">
        <v>0.24118076999999999</v>
      </c>
    </row>
    <row r="18" spans="2:17" x14ac:dyDescent="0.2">
      <c r="B18" s="32">
        <v>2.12</v>
      </c>
      <c r="C18" s="32" t="s">
        <v>51</v>
      </c>
      <c r="D18" s="45">
        <v>85.471349399999994</v>
      </c>
      <c r="E18" s="45">
        <v>55.691874300000002</v>
      </c>
      <c r="F18" s="45">
        <v>74.883482999999998</v>
      </c>
      <c r="G18" s="45">
        <v>2.8168929999999999</v>
      </c>
      <c r="H18" s="16">
        <f t="shared" si="3"/>
        <v>0.42651128080070505</v>
      </c>
      <c r="I18" s="16">
        <f t="shared" si="0"/>
        <v>-0.32900087723949567</v>
      </c>
      <c r="J18" s="16">
        <f t="shared" si="1"/>
        <v>0.69238880979084871</v>
      </c>
      <c r="K18" s="16">
        <f t="shared" si="2"/>
        <v>-1.0164348119040811</v>
      </c>
      <c r="L18" s="14">
        <f t="shared" si="4"/>
        <v>0.16092306068897105</v>
      </c>
      <c r="O18" s="32"/>
      <c r="P18" s="32" t="str">
        <f t="shared" si="5"/>
        <v>2.12 SVM</v>
      </c>
      <c r="Q18" s="37">
        <v>0.16092306000000001</v>
      </c>
    </row>
    <row r="19" spans="2:17" x14ac:dyDescent="0.2">
      <c r="B19" s="32">
        <v>2.1</v>
      </c>
      <c r="C19" s="32" t="s">
        <v>51</v>
      </c>
      <c r="D19" s="45">
        <v>85.203327200000004</v>
      </c>
      <c r="E19" s="45">
        <v>58.3429036</v>
      </c>
      <c r="F19" s="45">
        <v>69.130346200000005</v>
      </c>
      <c r="G19" s="45">
        <v>40.127955</v>
      </c>
      <c r="H19" s="16">
        <f t="shared" si="3"/>
        <v>0.34111085973025596</v>
      </c>
      <c r="I19" s="16">
        <f t="shared" si="0"/>
        <v>-4.7093416410820259E-2</v>
      </c>
      <c r="J19" s="16">
        <f t="shared" si="1"/>
        <v>0.48508965595363779</v>
      </c>
      <c r="K19" s="16">
        <f t="shared" si="2"/>
        <v>-1.7826716911045849E-2</v>
      </c>
      <c r="L19" s="14">
        <f t="shared" si="4"/>
        <v>0.1434760666224732</v>
      </c>
      <c r="O19" s="32"/>
      <c r="P19" s="32" t="str">
        <f t="shared" si="5"/>
        <v>2.1 SVM</v>
      </c>
      <c r="Q19" s="37">
        <v>0.14347607000000001</v>
      </c>
    </row>
    <row r="20" spans="2:17" x14ac:dyDescent="0.2">
      <c r="B20" s="32">
        <v>2.14</v>
      </c>
      <c r="C20" s="32" t="s">
        <v>51</v>
      </c>
      <c r="D20" s="45">
        <v>84.454713499999997</v>
      </c>
      <c r="E20" s="45">
        <v>59.153087800000002</v>
      </c>
      <c r="F20" s="45">
        <v>68.802579899999998</v>
      </c>
      <c r="G20" s="45">
        <v>54.462150999999999</v>
      </c>
      <c r="H20" s="16">
        <f t="shared" si="3"/>
        <v>0.10257865904273904</v>
      </c>
      <c r="I20" s="16">
        <f t="shared" si="0"/>
        <v>3.906065613206431E-2</v>
      </c>
      <c r="J20" s="16">
        <f t="shared" si="1"/>
        <v>0.47327945935856375</v>
      </c>
      <c r="K20" s="16">
        <f t="shared" si="2"/>
        <v>0.36581940285946041</v>
      </c>
      <c r="L20" s="14">
        <f t="shared" si="4"/>
        <v>9.8120011460346657E-2</v>
      </c>
      <c r="O20" s="32"/>
      <c r="P20" s="32" t="str">
        <f t="shared" si="5"/>
        <v>2.14 SVM</v>
      </c>
      <c r="Q20" s="37">
        <v>9.8120009999999994E-2</v>
      </c>
    </row>
    <row r="21" spans="2:17" x14ac:dyDescent="0.2">
      <c r="B21" s="32">
        <v>2.1800000000000002</v>
      </c>
      <c r="C21" s="32" t="s">
        <v>62</v>
      </c>
      <c r="D21" s="45">
        <v>85.221811500000001</v>
      </c>
      <c r="E21" s="45">
        <v>51.232394399999997</v>
      </c>
      <c r="F21" s="45">
        <v>92.718191399999995</v>
      </c>
      <c r="G21" s="45">
        <v>0.89746599999999999</v>
      </c>
      <c r="H21" s="16">
        <f t="shared" si="3"/>
        <v>0.34700054723820239</v>
      </c>
      <c r="I21" s="16">
        <f t="shared" si="0"/>
        <v>-0.80321693182083065</v>
      </c>
      <c r="J21" s="16">
        <f t="shared" si="1"/>
        <v>1.3350156216986417</v>
      </c>
      <c r="K21" s="16">
        <f t="shared" si="2"/>
        <v>-1.067807119128898</v>
      </c>
      <c r="L21" s="14">
        <f t="shared" si="4"/>
        <v>4.1575479789843287E-2</v>
      </c>
      <c r="O21" s="32"/>
      <c r="P21" s="32" t="str">
        <f t="shared" si="5"/>
        <v>2.18 Neural Network</v>
      </c>
      <c r="Q21" s="37">
        <v>4.1575479999999998E-2</v>
      </c>
    </row>
    <row r="22" spans="2:17" x14ac:dyDescent="0.2">
      <c r="B22" s="32">
        <v>2.23</v>
      </c>
      <c r="C22" s="32" t="s">
        <v>69</v>
      </c>
      <c r="D22" s="45">
        <v>84.057301300000006</v>
      </c>
      <c r="E22" s="45">
        <v>59.999133299999997</v>
      </c>
      <c r="F22" s="45">
        <v>66.584366599999996</v>
      </c>
      <c r="G22" s="45">
        <v>78.467673000000005</v>
      </c>
      <c r="H22" s="16">
        <f t="shared" si="3"/>
        <v>-2.4049542720152226E-2</v>
      </c>
      <c r="I22" s="16">
        <f t="shared" si="0"/>
        <v>0.12902817880355119</v>
      </c>
      <c r="J22" s="16">
        <f t="shared" si="1"/>
        <v>0.39335197699443009</v>
      </c>
      <c r="K22" s="16">
        <f t="shared" si="2"/>
        <v>1.0083127361699249</v>
      </c>
      <c r="L22" s="14">
        <f t="shared" si="4"/>
        <v>3.754330263963869E-2</v>
      </c>
      <c r="O22" s="32"/>
      <c r="P22" s="32" t="str">
        <f t="shared" si="5"/>
        <v>2.23 Kernel</v>
      </c>
      <c r="Q22" s="37">
        <v>3.7543300000000002E-2</v>
      </c>
    </row>
    <row r="23" spans="2:17" x14ac:dyDescent="0.2">
      <c r="B23" s="32">
        <v>2.15</v>
      </c>
      <c r="C23" s="32" t="s">
        <v>58</v>
      </c>
      <c r="D23" s="45">
        <v>84.306839199999999</v>
      </c>
      <c r="E23" s="45">
        <v>58.060888400000003</v>
      </c>
      <c r="F23" s="45">
        <v>70.372053800000003</v>
      </c>
      <c r="G23" s="45">
        <v>69.776713999999998</v>
      </c>
      <c r="H23" s="16">
        <f t="shared" si="3"/>
        <v>5.5461190842350398E-2</v>
      </c>
      <c r="I23" s="16">
        <f t="shared" si="0"/>
        <v>-7.7082594179278027E-2</v>
      </c>
      <c r="J23" s="16">
        <f t="shared" si="1"/>
        <v>0.52983132362843277</v>
      </c>
      <c r="K23" s="16">
        <f t="shared" si="2"/>
        <v>0.77570445472640592</v>
      </c>
      <c r="L23" s="14">
        <f t="shared" si="4"/>
        <v>9.4676033187703068E-4</v>
      </c>
      <c r="O23" s="32"/>
      <c r="P23" s="32" t="str">
        <f t="shared" si="5"/>
        <v>2.15 Ensemble</v>
      </c>
      <c r="Q23" s="37">
        <v>9.4676000000000005E-4</v>
      </c>
    </row>
    <row r="24" spans="2:17" x14ac:dyDescent="0.2">
      <c r="B24" s="32">
        <v>2.11</v>
      </c>
      <c r="C24" s="32" t="s">
        <v>51</v>
      </c>
      <c r="D24" s="45">
        <v>82.948244000000003</v>
      </c>
      <c r="E24" s="45">
        <v>59.616251400000003</v>
      </c>
      <c r="F24" s="45">
        <v>66.041104899999993</v>
      </c>
      <c r="G24" s="45">
        <v>57.323014999999998</v>
      </c>
      <c r="H24" s="16">
        <f t="shared" si="3"/>
        <v>-0.37743057015466752</v>
      </c>
      <c r="I24" s="16">
        <f t="shared" si="0"/>
        <v>8.8312950108697774E-2</v>
      </c>
      <c r="J24" s="16">
        <f t="shared" si="1"/>
        <v>0.37377697041329588</v>
      </c>
      <c r="K24" s="16">
        <f t="shared" si="2"/>
        <v>0.4423887041855431</v>
      </c>
      <c r="L24" s="14">
        <f t="shared" si="4"/>
        <v>-8.1311531247976743E-4</v>
      </c>
      <c r="O24" s="32"/>
      <c r="P24" s="32" t="str">
        <f t="shared" si="5"/>
        <v>2.11 SVM</v>
      </c>
      <c r="Q24" s="37">
        <v>-8.1309999999999998E-4</v>
      </c>
    </row>
    <row r="25" spans="2:17" x14ac:dyDescent="0.2">
      <c r="B25" s="32">
        <v>2.5</v>
      </c>
      <c r="C25" s="32" t="s">
        <v>74</v>
      </c>
      <c r="D25" s="45">
        <v>85.508317899999994</v>
      </c>
      <c r="E25" s="45">
        <v>52.570747599999997</v>
      </c>
      <c r="F25" s="45">
        <v>76.224580000000003</v>
      </c>
      <c r="G25" s="45">
        <v>31.924454000000001</v>
      </c>
      <c r="H25" s="16">
        <f t="shared" si="3"/>
        <v>0.43829062395341045</v>
      </c>
      <c r="I25" s="16">
        <f t="shared" si="0"/>
        <v>-0.66089796450352001</v>
      </c>
      <c r="J25" s="16">
        <f t="shared" si="1"/>
        <v>0.74071171310050465</v>
      </c>
      <c r="K25" s="16">
        <f t="shared" si="2"/>
        <v>-0.23738847867176599</v>
      </c>
      <c r="L25" s="14">
        <f t="shared" si="4"/>
        <v>-7.0909666973800398E-2</v>
      </c>
      <c r="O25" s="32"/>
      <c r="P25" s="32" t="str">
        <f t="shared" si="5"/>
        <v>2.5 Efficient Logistic Regression</v>
      </c>
      <c r="Q25" s="37">
        <v>-7.0909700000000006E-2</v>
      </c>
    </row>
    <row r="26" spans="2:17" x14ac:dyDescent="0.2">
      <c r="B26" s="32">
        <v>2.17</v>
      </c>
      <c r="C26" s="32" t="s">
        <v>58</v>
      </c>
      <c r="D26" s="45">
        <v>85.443622899999994</v>
      </c>
      <c r="E26" s="45">
        <v>53.777464799999997</v>
      </c>
      <c r="F26" s="45">
        <v>68.053311800000003</v>
      </c>
      <c r="G26" s="45">
        <v>51.361924000000002</v>
      </c>
      <c r="H26" s="16">
        <f t="shared" si="3"/>
        <v>0.41767673360718938</v>
      </c>
      <c r="I26" s="16">
        <f t="shared" si="0"/>
        <v>-0.53257702071376667</v>
      </c>
      <c r="J26" s="16">
        <f t="shared" si="1"/>
        <v>0.44628155395029778</v>
      </c>
      <c r="K26" s="16">
        <f t="shared" si="2"/>
        <v>0.28284369505151941</v>
      </c>
      <c r="L26" s="14">
        <f t="shared" si="4"/>
        <v>-0.12178122235053784</v>
      </c>
      <c r="O26" s="32"/>
      <c r="P26" s="32" t="str">
        <f t="shared" si="5"/>
        <v>2.17 Ensemble</v>
      </c>
      <c r="Q26" s="37">
        <v>-0.12178120000000001</v>
      </c>
    </row>
    <row r="27" spans="2:17" x14ac:dyDescent="0.2">
      <c r="B27" s="32">
        <v>2.16</v>
      </c>
      <c r="C27" s="32" t="s">
        <v>58</v>
      </c>
      <c r="D27" s="45">
        <v>85.120147900000006</v>
      </c>
      <c r="E27" s="45">
        <v>50.176056299999999</v>
      </c>
      <c r="F27" s="45">
        <v>92.583857399999999</v>
      </c>
      <c r="G27" s="45">
        <v>65.589530999999994</v>
      </c>
      <c r="H27" s="16">
        <f t="shared" si="3"/>
        <v>0.31460728187608844</v>
      </c>
      <c r="I27" s="16">
        <f t="shared" si="0"/>
        <v>-0.91554673200356984</v>
      </c>
      <c r="J27" s="16">
        <f t="shared" si="1"/>
        <v>1.3301752493070853</v>
      </c>
      <c r="K27" s="16">
        <f t="shared" si="2"/>
        <v>0.66363702445553274</v>
      </c>
      <c r="L27" s="14">
        <f t="shared" si="4"/>
        <v>-0.19518056221070346</v>
      </c>
      <c r="O27" s="32"/>
      <c r="P27" s="32" t="str">
        <f t="shared" si="5"/>
        <v>2.16 Ensemble</v>
      </c>
      <c r="Q27" s="37">
        <v>-0.19518060000000001</v>
      </c>
    </row>
    <row r="28" spans="2:17" x14ac:dyDescent="0.2">
      <c r="B28" s="32">
        <v>2.13</v>
      </c>
      <c r="C28" s="32" t="s">
        <v>51</v>
      </c>
      <c r="D28" s="45">
        <v>78.243992599999999</v>
      </c>
      <c r="E28" s="45">
        <v>59.706500499999997</v>
      </c>
      <c r="F28" s="45">
        <v>58.209566600000002</v>
      </c>
      <c r="G28" s="45">
        <v>95.759724000000006</v>
      </c>
      <c r="H28" s="16">
        <f t="shared" si="3"/>
        <v>-1.8763551009631778</v>
      </c>
      <c r="I28" s="16">
        <f t="shared" si="0"/>
        <v>9.7909937446058234E-2</v>
      </c>
      <c r="J28" s="16">
        <f t="shared" si="1"/>
        <v>9.158808471989302E-2</v>
      </c>
      <c r="K28" s="16">
        <f t="shared" si="2"/>
        <v>1.4711240629456785</v>
      </c>
      <c r="L28" s="14">
        <f t="shared" si="4"/>
        <v>-0.45511084082019571</v>
      </c>
      <c r="O28" s="32"/>
      <c r="P28" s="32" t="str">
        <f t="shared" si="5"/>
        <v>2.13 SVM</v>
      </c>
      <c r="Q28" s="37">
        <v>-0.45511079999999998</v>
      </c>
    </row>
    <row r="29" spans="2:17" x14ac:dyDescent="0.2">
      <c r="B29" s="32">
        <v>2.21</v>
      </c>
      <c r="C29" s="32" t="s">
        <v>62</v>
      </c>
      <c r="D29" s="45">
        <v>85.101663599999995</v>
      </c>
      <c r="E29" s="45">
        <v>50</v>
      </c>
      <c r="F29" s="45">
        <v>14.8768989</v>
      </c>
      <c r="G29" s="45">
        <v>0.81626200000000004</v>
      </c>
      <c r="H29" s="16">
        <f t="shared" si="3"/>
        <v>0.30871759436813745</v>
      </c>
      <c r="I29" s="16">
        <f t="shared" si="0"/>
        <v>-0.93426836005041614</v>
      </c>
      <c r="J29" s="16">
        <f t="shared" si="1"/>
        <v>-1.4697906309259878</v>
      </c>
      <c r="K29" s="16">
        <f t="shared" si="2"/>
        <v>-1.0699804952645282</v>
      </c>
      <c r="L29" s="14">
        <f t="shared" si="4"/>
        <v>-0.59235073781032521</v>
      </c>
      <c r="O29" s="32"/>
      <c r="P29" s="32" t="str">
        <f t="shared" si="5"/>
        <v>2.21 Neural Network</v>
      </c>
      <c r="Q29" s="37">
        <v>-0.59235070000000001</v>
      </c>
    </row>
    <row r="30" spans="2:17" x14ac:dyDescent="0.2">
      <c r="B30" s="32">
        <v>2.2000000000000002</v>
      </c>
      <c r="C30" s="32" t="s">
        <v>62</v>
      </c>
      <c r="D30" s="45">
        <v>85.101663599999995</v>
      </c>
      <c r="E30" s="45">
        <v>50</v>
      </c>
      <c r="F30" s="45">
        <v>14.8768989</v>
      </c>
      <c r="G30" s="45">
        <v>1.1099410000000001</v>
      </c>
      <c r="H30" s="16">
        <f t="shared" si="3"/>
        <v>0.30871759436813745</v>
      </c>
      <c r="I30" s="16">
        <f t="shared" si="0"/>
        <v>-0.93426836005041614</v>
      </c>
      <c r="J30" s="16">
        <f t="shared" si="1"/>
        <v>-1.4697906309259878</v>
      </c>
      <c r="K30" s="16">
        <f t="shared" si="2"/>
        <v>-1.0621203537673642</v>
      </c>
      <c r="L30" s="14">
        <f t="shared" si="4"/>
        <v>-0.59313675196004167</v>
      </c>
      <c r="O30" s="32"/>
      <c r="P30" s="32" t="str">
        <f t="shared" si="5"/>
        <v>2.2 Neural Network</v>
      </c>
      <c r="Q30" s="37">
        <v>-0.59313680000000002</v>
      </c>
    </row>
    <row r="31" spans="2:17" x14ac:dyDescent="0.2">
      <c r="B31" s="32">
        <v>2.2400000000000002</v>
      </c>
      <c r="C31" s="32" t="s">
        <v>69</v>
      </c>
      <c r="D31" s="45">
        <v>85.101663599999995</v>
      </c>
      <c r="E31" s="45">
        <v>50</v>
      </c>
      <c r="F31" s="45">
        <v>14.8768989</v>
      </c>
      <c r="G31" s="45">
        <v>10.612705</v>
      </c>
      <c r="H31" s="16">
        <f t="shared" si="3"/>
        <v>0.30871759436813745</v>
      </c>
      <c r="I31" s="16">
        <f t="shared" si="0"/>
        <v>-0.93426836005041614</v>
      </c>
      <c r="J31" s="16">
        <f t="shared" si="1"/>
        <v>-1.4697906309259878</v>
      </c>
      <c r="K31" s="16">
        <f t="shared" si="2"/>
        <v>-0.80778460060096025</v>
      </c>
      <c r="L31" s="14">
        <f t="shared" si="4"/>
        <v>-0.61857032727668204</v>
      </c>
      <c r="O31" s="32"/>
      <c r="P31" s="32" t="str">
        <f t="shared" si="5"/>
        <v>2.24 Kernel</v>
      </c>
      <c r="Q31" s="37">
        <v>-0.61857030000000002</v>
      </c>
    </row>
    <row r="32" spans="2:17" x14ac:dyDescent="0.2">
      <c r="B32" s="32">
        <v>2.6</v>
      </c>
      <c r="C32" s="32" t="s">
        <v>76</v>
      </c>
      <c r="D32" s="45">
        <v>85.101663599999995</v>
      </c>
      <c r="E32" s="45">
        <v>50</v>
      </c>
      <c r="F32" s="45">
        <v>15.1388161</v>
      </c>
      <c r="G32" s="45">
        <v>34.127937000000003</v>
      </c>
      <c r="H32" s="16">
        <f t="shared" si="3"/>
        <v>0.30871759436813745</v>
      </c>
      <c r="I32" s="16">
        <f t="shared" si="0"/>
        <v>-0.93426836005041614</v>
      </c>
      <c r="J32" s="16">
        <f t="shared" si="1"/>
        <v>-1.4603531334662696</v>
      </c>
      <c r="K32" s="16">
        <f t="shared" si="2"/>
        <v>-0.17841358374705063</v>
      </c>
      <c r="L32" s="14">
        <f t="shared" si="4"/>
        <v>-0.6796199294701295</v>
      </c>
      <c r="O32" s="32"/>
      <c r="P32" s="32" t="str">
        <f t="shared" si="5"/>
        <v>2.6 Efficient Linear SVM</v>
      </c>
      <c r="Q32" s="37">
        <v>-0.67961990000000005</v>
      </c>
    </row>
    <row r="33" spans="2:17" x14ac:dyDescent="0.2">
      <c r="B33" s="32">
        <v>2.4</v>
      </c>
      <c r="C33" s="32" t="s">
        <v>73</v>
      </c>
      <c r="D33" s="45">
        <v>85.101663599999995</v>
      </c>
      <c r="E33" s="45">
        <v>50</v>
      </c>
      <c r="F33" s="45">
        <v>14.5887899</v>
      </c>
      <c r="G33" s="45">
        <v>52.189258000000002</v>
      </c>
      <c r="H33" s="16">
        <f t="shared" si="3"/>
        <v>0.30871759436813745</v>
      </c>
      <c r="I33" s="16">
        <f t="shared" si="0"/>
        <v>-0.93426836005041614</v>
      </c>
      <c r="J33" s="16">
        <f t="shared" si="1"/>
        <v>-1.4801718810142674</v>
      </c>
      <c r="K33" s="16">
        <f t="shared" si="2"/>
        <v>0.30498679110338117</v>
      </c>
      <c r="L33" s="14">
        <f t="shared" si="4"/>
        <v>-0.73192371646477217</v>
      </c>
      <c r="O33" s="32"/>
      <c r="P33" s="32" t="str">
        <f t="shared" si="5"/>
        <v>2.4 Binary GLM Logistic Regression</v>
      </c>
      <c r="Q33" s="37">
        <v>-0.73192369999999995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C6F7-F4A4-4AFE-A771-8DE09B135548}">
  <dimension ref="B9:P33"/>
  <sheetViews>
    <sheetView workbookViewId="0">
      <selection activeCell="U5" sqref="U5"/>
    </sheetView>
  </sheetViews>
  <sheetFormatPr baseColWidth="10" defaultColWidth="11" defaultRowHeight="16" x14ac:dyDescent="0.2"/>
  <sheetData>
    <row r="9" spans="2:16" x14ac:dyDescent="0.2">
      <c r="B9" s="31" t="s">
        <v>7</v>
      </c>
      <c r="C9" s="31" t="s">
        <v>9</v>
      </c>
      <c r="D9" s="31" t="s">
        <v>126</v>
      </c>
      <c r="E9" s="31" t="s">
        <v>127</v>
      </c>
      <c r="F9" s="31" t="s">
        <v>128</v>
      </c>
      <c r="G9" s="31" t="s">
        <v>129</v>
      </c>
      <c r="H9" s="43" t="s">
        <v>130</v>
      </c>
      <c r="I9" s="43" t="s">
        <v>131</v>
      </c>
      <c r="J9" s="43" t="s">
        <v>132</v>
      </c>
      <c r="K9" s="43" t="s">
        <v>133</v>
      </c>
      <c r="L9" s="43" t="s">
        <v>134</v>
      </c>
      <c r="O9" s="43" t="s">
        <v>135</v>
      </c>
      <c r="P9" s="44" t="s">
        <v>134</v>
      </c>
    </row>
    <row r="10" spans="2:16" x14ac:dyDescent="0.2">
      <c r="B10" s="32">
        <v>2.4</v>
      </c>
      <c r="C10" s="32" t="s">
        <v>73</v>
      </c>
      <c r="D10" s="45">
        <v>86.537450000000007</v>
      </c>
      <c r="E10" s="45">
        <v>62.272590000000001</v>
      </c>
      <c r="F10" s="45">
        <v>74.297820000000002</v>
      </c>
      <c r="G10" s="45">
        <v>6.7566410000000001</v>
      </c>
      <c r="H10" s="16">
        <f t="shared" ref="H10:H33" si="0">(D10-AVERAGE($D$10:$D$33))/_xlfn.STDEV.S($D$10:$D$33)</f>
        <v>0.75487891502329962</v>
      </c>
      <c r="I10" s="16">
        <f t="shared" ref="I10:I33" si="1">(E10-AVERAGE($E$10:$E$33))/_xlfn.STDEV.S($E$10:$E$33)</f>
        <v>0.75681773955573295</v>
      </c>
      <c r="J10" s="16">
        <f t="shared" ref="J10:J33" si="2">(F10-AVERAGE($F$10:$F$33))/_xlfn.STDEV.S($F$10:$F$33)</f>
        <v>0.78657913215023212</v>
      </c>
      <c r="K10" s="16">
        <f t="shared" ref="K10:K33" si="3">(G10-AVERAGE($G$10:$G$33))/_xlfn.STDEV.S($G$10:$G$33)</f>
        <v>-1.0592018728348598</v>
      </c>
      <c r="L10" s="14">
        <f t="shared" ref="L10:L33" si="4">(0.5*I10)+(0.2*H10)+(0.2*J10)-(0.1*K10)</f>
        <v>0.79262066649605878</v>
      </c>
      <c r="O10" t="str">
        <f xml:space="preserve"> B10 &amp; " " &amp; C10</f>
        <v>2.4 Binary GLM Logistic Regression</v>
      </c>
      <c r="P10" s="37">
        <v>0.79</v>
      </c>
    </row>
    <row r="11" spans="2:16" x14ac:dyDescent="0.2">
      <c r="B11" s="32">
        <v>2.15</v>
      </c>
      <c r="C11" s="32" t="s">
        <v>58</v>
      </c>
      <c r="D11" s="45">
        <v>86.904139999999998</v>
      </c>
      <c r="E11" s="45">
        <v>60.763019999999997</v>
      </c>
      <c r="F11" s="45">
        <v>76.39658</v>
      </c>
      <c r="G11" s="45">
        <v>26.027080000000002</v>
      </c>
      <c r="H11" s="16">
        <f t="shared" si="0"/>
        <v>0.88289861825241589</v>
      </c>
      <c r="I11" s="16">
        <f t="shared" si="1"/>
        <v>0.50522058216209631</v>
      </c>
      <c r="J11" s="16">
        <f t="shared" si="2"/>
        <v>1.1617594567394884</v>
      </c>
      <c r="K11" s="16">
        <f t="shared" si="3"/>
        <v>-0.45907254431139033</v>
      </c>
      <c r="L11" s="14">
        <f t="shared" si="4"/>
        <v>0.70744916051056805</v>
      </c>
      <c r="O11" t="str">
        <f t="shared" ref="O11:O33" si="5" xml:space="preserve"> B11 &amp; " " &amp; C11</f>
        <v>2.15 Ensemble</v>
      </c>
      <c r="P11" s="37">
        <v>0.71</v>
      </c>
    </row>
    <row r="12" spans="2:16" x14ac:dyDescent="0.2">
      <c r="B12" s="32">
        <v>2.17</v>
      </c>
      <c r="C12" s="32" t="s">
        <v>58</v>
      </c>
      <c r="D12" s="45">
        <v>72.812989999999999</v>
      </c>
      <c r="E12" s="45">
        <v>75.368359999999996</v>
      </c>
      <c r="F12" s="45">
        <v>64.384550000000004</v>
      </c>
      <c r="G12" s="45">
        <v>23.847729999999999</v>
      </c>
      <c r="H12" s="16">
        <f t="shared" si="0"/>
        <v>-4.0366378871254369</v>
      </c>
      <c r="I12" s="16">
        <f t="shared" si="1"/>
        <v>2.9394647886365015</v>
      </c>
      <c r="J12" s="16">
        <f t="shared" si="2"/>
        <v>-0.98554529195778362</v>
      </c>
      <c r="K12" s="16">
        <f t="shared" si="3"/>
        <v>-0.52694291571899687</v>
      </c>
      <c r="L12" s="14">
        <f t="shared" si="4"/>
        <v>0.51799005007350629</v>
      </c>
      <c r="O12" t="str">
        <f t="shared" si="5"/>
        <v>2.17 Ensemble</v>
      </c>
      <c r="P12" s="37">
        <v>0.52</v>
      </c>
    </row>
    <row r="13" spans="2:16" x14ac:dyDescent="0.2">
      <c r="B13" s="32">
        <v>2.1800000000000002</v>
      </c>
      <c r="C13" s="32" t="s">
        <v>62</v>
      </c>
      <c r="D13" s="45">
        <v>85.594549999999998</v>
      </c>
      <c r="E13" s="45">
        <v>62.260559999999998</v>
      </c>
      <c r="F13" s="45">
        <v>70.696820000000002</v>
      </c>
      <c r="G13" s="45">
        <v>46.93544</v>
      </c>
      <c r="H13" s="16">
        <f t="shared" si="0"/>
        <v>0.42569137739004603</v>
      </c>
      <c r="I13" s="16">
        <f t="shared" si="1"/>
        <v>0.75481272236312436</v>
      </c>
      <c r="J13" s="16">
        <f t="shared" si="2"/>
        <v>0.14285409982356642</v>
      </c>
      <c r="K13" s="16">
        <f t="shared" si="3"/>
        <v>0.19206571192278091</v>
      </c>
      <c r="L13" s="14">
        <f t="shared" si="4"/>
        <v>0.4719088854320066</v>
      </c>
      <c r="O13" t="str">
        <f t="shared" si="5"/>
        <v>2.18 Neural Network</v>
      </c>
      <c r="P13" s="37">
        <v>0.47</v>
      </c>
    </row>
    <row r="14" spans="2:16" x14ac:dyDescent="0.2">
      <c r="B14" s="32">
        <v>2.2000000000000002</v>
      </c>
      <c r="C14" s="32" t="s">
        <v>45</v>
      </c>
      <c r="D14" s="45">
        <v>85.856470000000002</v>
      </c>
      <c r="E14" s="45">
        <v>58.175409999999999</v>
      </c>
      <c r="F14" s="45">
        <v>72.129320000000007</v>
      </c>
      <c r="G14" s="45">
        <v>0.78720800000000002</v>
      </c>
      <c r="H14" s="16">
        <f t="shared" si="0"/>
        <v>0.51713352380737787</v>
      </c>
      <c r="I14" s="16">
        <f t="shared" si="1"/>
        <v>7.3948550760209619E-2</v>
      </c>
      <c r="J14" s="16">
        <f t="shared" si="2"/>
        <v>0.39893188621844333</v>
      </c>
      <c r="K14" s="16">
        <f t="shared" si="3"/>
        <v>-1.2451048415194779</v>
      </c>
      <c r="L14" s="14">
        <f t="shared" si="4"/>
        <v>0.34469784153721683</v>
      </c>
      <c r="O14" t="str">
        <f t="shared" si="5"/>
        <v>2.2 Tree</v>
      </c>
      <c r="P14" s="37">
        <v>0.34</v>
      </c>
    </row>
    <row r="15" spans="2:16" x14ac:dyDescent="0.2">
      <c r="B15" s="32">
        <v>2.1</v>
      </c>
      <c r="C15" s="32" t="s">
        <v>45</v>
      </c>
      <c r="D15" s="45">
        <v>84.38973</v>
      </c>
      <c r="E15" s="45">
        <v>60.756340000000002</v>
      </c>
      <c r="F15" s="45">
        <v>66.971810000000005</v>
      </c>
      <c r="G15" s="45">
        <v>4.7482199999999999</v>
      </c>
      <c r="H15" s="16">
        <f t="shared" si="0"/>
        <v>5.061693339465676E-3</v>
      </c>
      <c r="I15" s="16">
        <f t="shared" si="1"/>
        <v>0.50410723928207857</v>
      </c>
      <c r="J15" s="16">
        <f t="shared" si="2"/>
        <v>-0.5230393138579531</v>
      </c>
      <c r="K15" s="16">
        <f t="shared" si="3"/>
        <v>-1.1217490906809313</v>
      </c>
      <c r="L15" s="14">
        <f t="shared" si="4"/>
        <v>0.26063300460543493</v>
      </c>
      <c r="O15" t="str">
        <f t="shared" si="5"/>
        <v>2.1 Tree</v>
      </c>
      <c r="P15" s="37">
        <v>0.26</v>
      </c>
    </row>
    <row r="16" spans="2:16" x14ac:dyDescent="0.2">
      <c r="B16" s="32">
        <v>2.16</v>
      </c>
      <c r="C16" s="32" t="s">
        <v>58</v>
      </c>
      <c r="D16" s="45">
        <v>85.613209999999995</v>
      </c>
      <c r="E16" s="45">
        <v>59.918849999999999</v>
      </c>
      <c r="F16" s="45">
        <v>70.808329999999998</v>
      </c>
      <c r="G16" s="45">
        <v>54.492840000000001</v>
      </c>
      <c r="H16" s="16">
        <f t="shared" si="0"/>
        <v>0.43220600190190889</v>
      </c>
      <c r="I16" s="16">
        <f t="shared" si="1"/>
        <v>0.364524375721199</v>
      </c>
      <c r="J16" s="16">
        <f t="shared" si="2"/>
        <v>0.16278794552052384</v>
      </c>
      <c r="K16" s="16">
        <f t="shared" si="3"/>
        <v>0.42742191669752783</v>
      </c>
      <c r="L16" s="14">
        <f t="shared" si="4"/>
        <v>0.25851878567533326</v>
      </c>
      <c r="O16" t="str">
        <f t="shared" si="5"/>
        <v>2.16 Ensemble</v>
      </c>
      <c r="P16" s="37">
        <v>0.26</v>
      </c>
    </row>
    <row r="17" spans="2:16" x14ac:dyDescent="0.2">
      <c r="B17" s="32">
        <v>2.7</v>
      </c>
      <c r="C17" s="32" t="s">
        <v>78</v>
      </c>
      <c r="D17" s="45">
        <v>83.918279999999996</v>
      </c>
      <c r="E17" s="45">
        <v>60.334130000000002</v>
      </c>
      <c r="F17" s="45">
        <v>65.716589999999997</v>
      </c>
      <c r="G17" s="45">
        <v>2.0183279999999999</v>
      </c>
      <c r="H17" s="16">
        <f t="shared" si="0"/>
        <v>-0.15953207547716111</v>
      </c>
      <c r="I17" s="16">
        <f t="shared" si="1"/>
        <v>0.4337383025496534</v>
      </c>
      <c r="J17" s="16">
        <f t="shared" si="2"/>
        <v>-0.74742602173828709</v>
      </c>
      <c r="K17" s="16">
        <f t="shared" si="3"/>
        <v>-1.206764707237544</v>
      </c>
      <c r="L17" s="14">
        <f t="shared" si="4"/>
        <v>0.15615400255549144</v>
      </c>
      <c r="O17" t="str">
        <f t="shared" si="5"/>
        <v>2.7 Naive Bayes</v>
      </c>
      <c r="P17" s="37">
        <v>0.16</v>
      </c>
    </row>
    <row r="18" spans="2:16" x14ac:dyDescent="0.2">
      <c r="B18" s="32">
        <v>2.11</v>
      </c>
      <c r="C18" s="32" t="s">
        <v>51</v>
      </c>
      <c r="D18" s="45">
        <v>84.494500000000002</v>
      </c>
      <c r="E18" s="45">
        <v>61.826349999999998</v>
      </c>
      <c r="F18" s="45">
        <v>67.670320000000004</v>
      </c>
      <c r="G18" s="45">
        <v>81.886629999999997</v>
      </c>
      <c r="H18" s="16">
        <f t="shared" si="0"/>
        <v>4.1639250151255185E-2</v>
      </c>
      <c r="I18" s="16">
        <f t="shared" si="1"/>
        <v>0.68244376848096533</v>
      </c>
      <c r="J18" s="16">
        <f t="shared" si="2"/>
        <v>-0.39817167366620121</v>
      </c>
      <c r="K18" s="16">
        <f t="shared" si="3"/>
        <v>1.2805325696729442</v>
      </c>
      <c r="L18" s="14">
        <f t="shared" si="4"/>
        <v>0.14186214257019902</v>
      </c>
      <c r="O18" t="str">
        <f t="shared" si="5"/>
        <v>2.11 SVM</v>
      </c>
      <c r="P18" s="37">
        <v>0.14000000000000001</v>
      </c>
    </row>
    <row r="19" spans="2:16" x14ac:dyDescent="0.2">
      <c r="B19" s="32">
        <v>2.2200000000000002</v>
      </c>
      <c r="C19" s="32" t="s">
        <v>62</v>
      </c>
      <c r="D19" s="45">
        <v>84.12782</v>
      </c>
      <c r="E19" s="45">
        <v>61.786999999999999</v>
      </c>
      <c r="F19" s="45">
        <v>67.123649999999998</v>
      </c>
      <c r="G19" s="45">
        <v>74.588319999999996</v>
      </c>
      <c r="H19" s="16">
        <f t="shared" si="0"/>
        <v>-8.6376961853582096E-2</v>
      </c>
      <c r="I19" s="16">
        <f t="shared" si="1"/>
        <v>0.67588537891079681</v>
      </c>
      <c r="J19" s="16">
        <f t="shared" si="2"/>
        <v>-0.49589596231436067</v>
      </c>
      <c r="K19" s="16">
        <f t="shared" si="3"/>
        <v>1.0532450709472472</v>
      </c>
      <c r="L19" s="14">
        <f t="shared" si="4"/>
        <v>0.11616359752708512</v>
      </c>
      <c r="O19" t="str">
        <f t="shared" si="5"/>
        <v>2.22 Neural Network</v>
      </c>
      <c r="P19" s="37">
        <v>0.12</v>
      </c>
    </row>
    <row r="20" spans="2:16" x14ac:dyDescent="0.2">
      <c r="B20" s="32">
        <v>2.21</v>
      </c>
      <c r="C20" s="32" t="s">
        <v>62</v>
      </c>
      <c r="D20" s="45">
        <v>84.494500000000002</v>
      </c>
      <c r="E20" s="45">
        <v>60.641820000000003</v>
      </c>
      <c r="F20" s="45">
        <v>67.318489999999997</v>
      </c>
      <c r="G20" s="45">
        <v>60.709899999999998</v>
      </c>
      <c r="H20" s="16">
        <f t="shared" si="0"/>
        <v>4.1639250151255185E-2</v>
      </c>
      <c r="I20" s="16">
        <f t="shared" si="1"/>
        <v>0.48502040894978593</v>
      </c>
      <c r="J20" s="16">
        <f t="shared" si="2"/>
        <v>-0.461065808107605</v>
      </c>
      <c r="K20" s="16">
        <f t="shared" si="3"/>
        <v>0.62103660514287762</v>
      </c>
      <c r="L20" s="14">
        <f t="shared" si="4"/>
        <v>9.6521232369335269E-2</v>
      </c>
      <c r="O20" t="str">
        <f t="shared" si="5"/>
        <v>2.21 Neural Network</v>
      </c>
      <c r="P20" s="37">
        <v>0.1</v>
      </c>
    </row>
    <row r="21" spans="2:16" x14ac:dyDescent="0.2">
      <c r="B21" s="32">
        <v>2.13</v>
      </c>
      <c r="C21" s="32" t="s">
        <v>51</v>
      </c>
      <c r="D21" s="45">
        <v>85.908850000000001</v>
      </c>
      <c r="E21" s="45">
        <v>54.001959999999997</v>
      </c>
      <c r="F21" s="45">
        <v>75.878870000000006</v>
      </c>
      <c r="G21" s="45">
        <v>32.593409999999999</v>
      </c>
      <c r="H21" s="16">
        <f t="shared" si="0"/>
        <v>0.53542055660113053</v>
      </c>
      <c r="I21" s="16">
        <f t="shared" si="1"/>
        <v>-0.62163241370283018</v>
      </c>
      <c r="J21" s="16">
        <f t="shared" si="2"/>
        <v>1.0692121403035446</v>
      </c>
      <c r="K21" s="16">
        <f t="shared" si="3"/>
        <v>-0.25458072065529658</v>
      </c>
      <c r="L21" s="14">
        <f t="shared" si="4"/>
        <v>3.5568404595049619E-2</v>
      </c>
      <c r="O21" t="str">
        <f t="shared" si="5"/>
        <v>2.13 SVM</v>
      </c>
      <c r="P21" s="37">
        <v>0.04</v>
      </c>
    </row>
    <row r="22" spans="2:16" x14ac:dyDescent="0.2">
      <c r="B22" s="32">
        <v>2.1</v>
      </c>
      <c r="C22" s="32" t="s">
        <v>51</v>
      </c>
      <c r="D22" s="45">
        <v>85.961240000000004</v>
      </c>
      <c r="E22" s="45">
        <v>54.795610000000003</v>
      </c>
      <c r="F22" s="45">
        <v>76.24906</v>
      </c>
      <c r="G22" s="45">
        <v>75.887699999999995</v>
      </c>
      <c r="H22" s="16">
        <f t="shared" si="0"/>
        <v>0.5537110806191673</v>
      </c>
      <c r="I22" s="16">
        <f t="shared" si="1"/>
        <v>-0.48935627946231081</v>
      </c>
      <c r="J22" s="16">
        <f t="shared" si="2"/>
        <v>1.1353883607192636</v>
      </c>
      <c r="K22" s="16">
        <f t="shared" si="3"/>
        <v>1.0937109911526366</v>
      </c>
      <c r="L22" s="14">
        <f t="shared" si="4"/>
        <v>-1.6229350578732843E-2</v>
      </c>
      <c r="O22" t="str">
        <f t="shared" si="5"/>
        <v>2.1 SVM</v>
      </c>
      <c r="P22" s="37">
        <v>-0.02</v>
      </c>
    </row>
    <row r="23" spans="2:16" x14ac:dyDescent="0.2">
      <c r="B23" s="32">
        <v>2.2999999999999998</v>
      </c>
      <c r="C23" s="32" t="s">
        <v>45</v>
      </c>
      <c r="D23" s="45">
        <v>85.123099999999994</v>
      </c>
      <c r="E23" s="45">
        <v>56.842149999999997</v>
      </c>
      <c r="F23" s="45">
        <v>66.376660000000001</v>
      </c>
      <c r="G23" s="45">
        <v>3.3008329999999999</v>
      </c>
      <c r="H23" s="16">
        <f t="shared" si="0"/>
        <v>0.26109760857341929</v>
      </c>
      <c r="I23" s="16">
        <f t="shared" si="1"/>
        <v>-0.14826335466096324</v>
      </c>
      <c r="J23" s="16">
        <f t="shared" si="2"/>
        <v>-0.62943002560169581</v>
      </c>
      <c r="K23" s="16">
        <f t="shared" si="3"/>
        <v>-1.1668243164411543</v>
      </c>
      <c r="L23" s="14">
        <f t="shared" si="4"/>
        <v>-3.111572909202151E-2</v>
      </c>
      <c r="O23" t="str">
        <f t="shared" si="5"/>
        <v>2.3 Tree</v>
      </c>
      <c r="P23" s="37">
        <v>-0.03</v>
      </c>
    </row>
    <row r="24" spans="2:16" x14ac:dyDescent="0.2">
      <c r="B24" s="32">
        <v>2.19</v>
      </c>
      <c r="C24" s="32" t="s">
        <v>62</v>
      </c>
      <c r="D24" s="45">
        <v>82.923000000000002</v>
      </c>
      <c r="E24" s="45">
        <v>61.347670000000001</v>
      </c>
      <c r="F24" s="45">
        <v>64.320809999999994</v>
      </c>
      <c r="G24" s="45">
        <v>70.143150000000006</v>
      </c>
      <c r="H24" s="16">
        <f t="shared" si="0"/>
        <v>-0.50700664590416245</v>
      </c>
      <c r="I24" s="16">
        <f t="shared" si="1"/>
        <v>0.60266308437808513</v>
      </c>
      <c r="J24" s="16">
        <f t="shared" si="2"/>
        <v>-0.99693963618452841</v>
      </c>
      <c r="K24" s="16">
        <f t="shared" si="3"/>
        <v>0.91481143758411176</v>
      </c>
      <c r="L24" s="14">
        <f t="shared" si="4"/>
        <v>-9.0938857987106797E-2</v>
      </c>
      <c r="O24" t="str">
        <f t="shared" si="5"/>
        <v>2.19 Neural Network</v>
      </c>
      <c r="P24" s="37">
        <v>-0.09</v>
      </c>
    </row>
    <row r="25" spans="2:16" x14ac:dyDescent="0.2">
      <c r="B25" s="32">
        <v>2.23</v>
      </c>
      <c r="C25" s="32" t="s">
        <v>69</v>
      </c>
      <c r="D25" s="45">
        <v>85.280249999999995</v>
      </c>
      <c r="E25" s="45">
        <v>50.528170000000003</v>
      </c>
      <c r="F25" s="45">
        <v>84.384960000000007</v>
      </c>
      <c r="G25" s="45">
        <v>64.83587</v>
      </c>
      <c r="H25" s="16">
        <f t="shared" si="0"/>
        <v>0.31596219817896154</v>
      </c>
      <c r="I25" s="16">
        <f t="shared" si="1"/>
        <v>-1.2006023782506401</v>
      </c>
      <c r="J25" s="16">
        <f t="shared" si="2"/>
        <v>2.5897850534453188</v>
      </c>
      <c r="K25" s="16">
        <f t="shared" si="3"/>
        <v>0.74952955777400243</v>
      </c>
      <c r="L25" s="14">
        <f t="shared" si="4"/>
        <v>-9.410469457786419E-2</v>
      </c>
      <c r="O25" t="str">
        <f t="shared" si="5"/>
        <v>2.23 Kernel</v>
      </c>
      <c r="P25" s="37">
        <v>-0.09</v>
      </c>
    </row>
    <row r="26" spans="2:16" x14ac:dyDescent="0.2">
      <c r="B26" s="32">
        <v>2.2400000000000002</v>
      </c>
      <c r="C26" s="32" t="s">
        <v>69</v>
      </c>
      <c r="D26" s="45">
        <v>85.227869999999996</v>
      </c>
      <c r="E26" s="45">
        <v>56.093449999999997</v>
      </c>
      <c r="F26" s="45">
        <v>69.013499999999993</v>
      </c>
      <c r="G26" s="45">
        <v>45.248980000000003</v>
      </c>
      <c r="H26" s="16">
        <f t="shared" si="0"/>
        <v>0.29767516538520877</v>
      </c>
      <c r="I26" s="16">
        <f t="shared" si="1"/>
        <v>-0.27304775799477032</v>
      </c>
      <c r="J26" s="16">
        <f t="shared" si="2"/>
        <v>-0.15806098526838827</v>
      </c>
      <c r="K26" s="16">
        <f t="shared" si="3"/>
        <v>0.1395451592056535</v>
      </c>
      <c r="L26" s="14">
        <f t="shared" si="4"/>
        <v>-0.12255555889458641</v>
      </c>
      <c r="O26" t="str">
        <f t="shared" si="5"/>
        <v>2.24 Kernel</v>
      </c>
      <c r="P26" s="37">
        <v>-0.12</v>
      </c>
    </row>
    <row r="27" spans="2:16" x14ac:dyDescent="0.2">
      <c r="B27" s="32">
        <v>2.8</v>
      </c>
      <c r="C27" s="32" t="s">
        <v>78</v>
      </c>
      <c r="D27" s="45">
        <v>84.965950000000007</v>
      </c>
      <c r="E27" s="45">
        <v>56.544750000000001</v>
      </c>
      <c r="F27" s="45">
        <v>67.575159999999997</v>
      </c>
      <c r="G27" s="45">
        <v>108.2557</v>
      </c>
      <c r="H27" s="16">
        <f t="shared" si="0"/>
        <v>0.20623301896788196</v>
      </c>
      <c r="I27" s="16">
        <f t="shared" si="1"/>
        <v>-0.19783044635519828</v>
      </c>
      <c r="J27" s="16">
        <f t="shared" si="2"/>
        <v>-0.41518274672263272</v>
      </c>
      <c r="K27" s="16">
        <f t="shared" si="3"/>
        <v>2.1017308969600581</v>
      </c>
      <c r="L27" s="14">
        <f t="shared" si="4"/>
        <v>-0.35087825842455511</v>
      </c>
      <c r="O27" t="str">
        <f t="shared" si="5"/>
        <v>2.8 Naive Bayes</v>
      </c>
      <c r="P27" s="37">
        <v>-0.35</v>
      </c>
    </row>
    <row r="28" spans="2:16" x14ac:dyDescent="0.2">
      <c r="B28" s="32">
        <v>2.2000000000000002</v>
      </c>
      <c r="C28" s="32" t="s">
        <v>62</v>
      </c>
      <c r="D28" s="45">
        <v>79.256159999999994</v>
      </c>
      <c r="E28" s="45">
        <v>61.303150000000002</v>
      </c>
      <c r="F28" s="45">
        <v>60.74288</v>
      </c>
      <c r="G28" s="45">
        <v>82.683329999999998</v>
      </c>
      <c r="H28" s="16">
        <f t="shared" si="0"/>
        <v>-1.7871827308496613</v>
      </c>
      <c r="I28" s="16">
        <f t="shared" si="1"/>
        <v>0.59524302075257296</v>
      </c>
      <c r="J28" s="16">
        <f t="shared" si="2"/>
        <v>-1.6365406095009807</v>
      </c>
      <c r="K28" s="16">
        <f t="shared" si="3"/>
        <v>1.3053437862744264</v>
      </c>
      <c r="L28" s="14">
        <f t="shared" si="4"/>
        <v>-0.51765753632128453</v>
      </c>
      <c r="O28" t="str">
        <f t="shared" si="5"/>
        <v>2.2 Neural Network</v>
      </c>
      <c r="P28" s="37">
        <v>-0.52</v>
      </c>
    </row>
    <row r="29" spans="2:16" x14ac:dyDescent="0.2">
      <c r="B29" s="32">
        <v>2.5</v>
      </c>
      <c r="C29" s="32" t="s">
        <v>74</v>
      </c>
      <c r="D29" s="45">
        <v>85.123099999999994</v>
      </c>
      <c r="E29" s="45">
        <v>50</v>
      </c>
      <c r="F29" s="45"/>
      <c r="G29" s="45">
        <v>4.7458450000000001</v>
      </c>
      <c r="H29" s="16">
        <f t="shared" si="0"/>
        <v>0.26109760857341929</v>
      </c>
      <c r="I29" s="16">
        <f t="shared" si="1"/>
        <v>-1.2886314664152152</v>
      </c>
      <c r="J29" s="16">
        <f t="shared" si="2"/>
        <v>-12.495111115364569</v>
      </c>
      <c r="K29" s="16">
        <f t="shared" si="3"/>
        <v>-1.1218230540792351</v>
      </c>
      <c r="L29" s="14">
        <f t="shared" si="4"/>
        <v>-2.9789361291579142</v>
      </c>
      <c r="O29" t="str">
        <f t="shared" si="5"/>
        <v>2.5 Efficient Logistic Regression</v>
      </c>
      <c r="P29" s="37">
        <v>-2.98</v>
      </c>
    </row>
    <row r="30" spans="2:16" x14ac:dyDescent="0.2">
      <c r="B30" s="32">
        <v>2.6</v>
      </c>
      <c r="C30" s="32" t="s">
        <v>76</v>
      </c>
      <c r="D30" s="45">
        <v>85.123099999999994</v>
      </c>
      <c r="E30" s="45">
        <v>50</v>
      </c>
      <c r="F30" s="45"/>
      <c r="G30" s="45">
        <v>6.3610059999999997</v>
      </c>
      <c r="H30" s="16">
        <f t="shared" si="0"/>
        <v>0.26109760857341929</v>
      </c>
      <c r="I30" s="16">
        <f t="shared" si="1"/>
        <v>-1.2886314664152152</v>
      </c>
      <c r="J30" s="16">
        <f t="shared" si="2"/>
        <v>-12.495111115364569</v>
      </c>
      <c r="K30" s="16">
        <f t="shared" si="3"/>
        <v>-1.0715229292929085</v>
      </c>
      <c r="L30" s="14">
        <f t="shared" si="4"/>
        <v>-2.9839661416365471</v>
      </c>
      <c r="O30" t="str">
        <f t="shared" si="5"/>
        <v>2.6 Efficient Linear SVM</v>
      </c>
      <c r="P30" s="37">
        <v>-2.98</v>
      </c>
    </row>
    <row r="31" spans="2:16" x14ac:dyDescent="0.2">
      <c r="B31" s="32">
        <v>2.9</v>
      </c>
      <c r="C31" s="32" t="s">
        <v>51</v>
      </c>
      <c r="D31" s="45">
        <v>85.123099999999994</v>
      </c>
      <c r="E31" s="45">
        <v>50</v>
      </c>
      <c r="F31" s="45"/>
      <c r="G31" s="45">
        <v>11.56902</v>
      </c>
      <c r="H31" s="16">
        <f t="shared" si="0"/>
        <v>0.26109760857341929</v>
      </c>
      <c r="I31" s="16">
        <f t="shared" si="1"/>
        <v>-1.2886314664152152</v>
      </c>
      <c r="J31" s="16">
        <f t="shared" si="2"/>
        <v>-12.495111115364569</v>
      </c>
      <c r="K31" s="16">
        <f t="shared" si="3"/>
        <v>-0.90933243924954055</v>
      </c>
      <c r="L31" s="14">
        <f t="shared" si="4"/>
        <v>-3.0001851906408836</v>
      </c>
      <c r="O31" t="str">
        <f t="shared" si="5"/>
        <v>2.9 SVM</v>
      </c>
      <c r="P31" s="37">
        <v>-3</v>
      </c>
    </row>
    <row r="32" spans="2:16" x14ac:dyDescent="0.2">
      <c r="B32" s="32">
        <v>2.14</v>
      </c>
      <c r="C32" s="32" t="s">
        <v>51</v>
      </c>
      <c r="D32" s="45">
        <v>85.123099999999994</v>
      </c>
      <c r="E32" s="45">
        <v>50</v>
      </c>
      <c r="F32" s="45"/>
      <c r="G32" s="45">
        <v>31.761890000000001</v>
      </c>
      <c r="H32" s="16">
        <f t="shared" si="0"/>
        <v>0.26109760857341929</v>
      </c>
      <c r="I32" s="16">
        <f t="shared" si="1"/>
        <v>-1.2886314664152152</v>
      </c>
      <c r="J32" s="16">
        <f t="shared" si="2"/>
        <v>-12.495111115364569</v>
      </c>
      <c r="K32" s="16">
        <f t="shared" si="3"/>
        <v>-0.28047631853211891</v>
      </c>
      <c r="L32" s="14">
        <f t="shared" si="4"/>
        <v>-3.0630708027126259</v>
      </c>
      <c r="O32" t="str">
        <f t="shared" si="5"/>
        <v>2.14 SVM</v>
      </c>
      <c r="P32" s="37">
        <v>-3.06</v>
      </c>
    </row>
    <row r="33" spans="2:16" x14ac:dyDescent="0.2">
      <c r="B33" s="32">
        <v>2.12</v>
      </c>
      <c r="C33" s="32" t="s">
        <v>51</v>
      </c>
      <c r="D33" s="45">
        <v>85.123099999999994</v>
      </c>
      <c r="E33" s="45">
        <v>50</v>
      </c>
      <c r="F33" s="45"/>
      <c r="G33" s="45">
        <v>58.249769999999998</v>
      </c>
      <c r="H33" s="16">
        <f t="shared" si="0"/>
        <v>0.26109760857341929</v>
      </c>
      <c r="I33" s="16">
        <f t="shared" si="1"/>
        <v>-1.2886314664152152</v>
      </c>
      <c r="J33" s="16">
        <f t="shared" si="2"/>
        <v>-12.495111115364569</v>
      </c>
      <c r="K33" s="16">
        <f t="shared" si="3"/>
        <v>0.54442204721918719</v>
      </c>
      <c r="L33" s="14">
        <f t="shared" si="4"/>
        <v>-3.1455606392877566</v>
      </c>
      <c r="O33" t="str">
        <f t="shared" si="5"/>
        <v>2.12 SVM</v>
      </c>
      <c r="P33" s="37">
        <v>-3.15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35AF-68D0-AA4B-AFE3-F56AF52498E5}">
  <dimension ref="A1:F29"/>
  <sheetViews>
    <sheetView tabSelected="1" workbookViewId="0">
      <selection activeCell="J21" sqref="J21"/>
    </sheetView>
  </sheetViews>
  <sheetFormatPr baseColWidth="10" defaultColWidth="11" defaultRowHeight="16" x14ac:dyDescent="0.2"/>
  <cols>
    <col min="1" max="1" width="15.33203125" customWidth="1"/>
    <col min="2" max="2" width="8.83203125" customWidth="1"/>
    <col min="3" max="3" width="8.33203125" customWidth="1"/>
    <col min="4" max="4" width="7" customWidth="1"/>
    <col min="5" max="5" width="14" customWidth="1"/>
    <col min="6" max="6" width="14.5" customWidth="1"/>
  </cols>
  <sheetData>
    <row r="1" spans="1:6" x14ac:dyDescent="0.2">
      <c r="A1" s="46" t="s">
        <v>136</v>
      </c>
      <c r="B1" s="47" t="s">
        <v>137</v>
      </c>
      <c r="C1" s="47" t="s">
        <v>138</v>
      </c>
      <c r="D1" s="47" t="s">
        <v>139</v>
      </c>
      <c r="E1" s="47" t="s">
        <v>140</v>
      </c>
      <c r="F1" s="47" t="s">
        <v>141</v>
      </c>
    </row>
    <row r="2" spans="1:6" x14ac:dyDescent="0.2">
      <c r="A2" s="48" t="s">
        <v>142</v>
      </c>
      <c r="B2" s="49">
        <v>1</v>
      </c>
      <c r="C2" s="49">
        <v>1</v>
      </c>
      <c r="D2" s="49">
        <v>1</v>
      </c>
      <c r="E2" s="49">
        <v>1</v>
      </c>
      <c r="F2" s="50">
        <v>1</v>
      </c>
    </row>
    <row r="3" spans="1:6" x14ac:dyDescent="0.2">
      <c r="A3" s="48" t="s">
        <v>143</v>
      </c>
      <c r="B3" s="49">
        <v>5</v>
      </c>
      <c r="C3" s="49">
        <v>2</v>
      </c>
      <c r="D3" s="49">
        <v>2</v>
      </c>
      <c r="E3" s="49">
        <v>2</v>
      </c>
      <c r="F3" s="50">
        <v>2.75</v>
      </c>
    </row>
    <row r="4" spans="1:6" x14ac:dyDescent="0.2">
      <c r="A4" s="48" t="s">
        <v>144</v>
      </c>
      <c r="B4" s="49">
        <v>3</v>
      </c>
      <c r="C4" s="49">
        <v>3</v>
      </c>
      <c r="D4" s="49">
        <v>3</v>
      </c>
      <c r="E4" s="49">
        <v>3</v>
      </c>
      <c r="F4" s="50">
        <v>3</v>
      </c>
    </row>
    <row r="5" spans="1:6" x14ac:dyDescent="0.2">
      <c r="A5" s="48" t="s">
        <v>145</v>
      </c>
      <c r="B5" s="49">
        <v>10</v>
      </c>
      <c r="C5" s="49">
        <v>4</v>
      </c>
      <c r="D5" s="49">
        <v>4</v>
      </c>
      <c r="E5" s="49">
        <v>4</v>
      </c>
      <c r="F5" s="50">
        <v>5.5</v>
      </c>
    </row>
    <row r="6" spans="1:6" x14ac:dyDescent="0.2">
      <c r="A6" s="48" t="s">
        <v>146</v>
      </c>
      <c r="B6" s="49">
        <v>2</v>
      </c>
      <c r="C6" s="49">
        <v>10</v>
      </c>
      <c r="D6" s="49">
        <v>6</v>
      </c>
      <c r="E6" s="49">
        <v>9</v>
      </c>
      <c r="F6" s="50">
        <v>6.75</v>
      </c>
    </row>
    <row r="7" spans="1:6" x14ac:dyDescent="0.2">
      <c r="A7" s="48" t="s">
        <v>147</v>
      </c>
      <c r="B7" s="49">
        <v>12</v>
      </c>
      <c r="C7" s="49">
        <v>5</v>
      </c>
      <c r="D7" s="49">
        <v>12</v>
      </c>
      <c r="E7" s="49">
        <v>5</v>
      </c>
      <c r="F7" s="50">
        <v>8.5</v>
      </c>
    </row>
    <row r="8" spans="1:6" x14ac:dyDescent="0.2">
      <c r="A8" s="48" t="s">
        <v>148</v>
      </c>
      <c r="B8" s="49">
        <v>4</v>
      </c>
      <c r="C8" s="49">
        <v>13</v>
      </c>
      <c r="D8" s="49">
        <v>9</v>
      </c>
      <c r="E8" s="49">
        <v>13</v>
      </c>
      <c r="F8" s="50">
        <v>9.75</v>
      </c>
    </row>
    <row r="9" spans="1:6" x14ac:dyDescent="0.2">
      <c r="A9" s="48" t="s">
        <v>149</v>
      </c>
      <c r="B9" s="49">
        <v>13</v>
      </c>
      <c r="C9" s="49">
        <v>7</v>
      </c>
      <c r="D9" s="49">
        <v>13</v>
      </c>
      <c r="E9" s="49">
        <v>7</v>
      </c>
      <c r="F9" s="50">
        <v>10</v>
      </c>
    </row>
    <row r="10" spans="1:6" x14ac:dyDescent="0.2">
      <c r="A10" s="48" t="s">
        <v>150</v>
      </c>
      <c r="B10" s="49">
        <v>18</v>
      </c>
      <c r="C10" s="49">
        <v>9</v>
      </c>
      <c r="D10" s="49">
        <v>5</v>
      </c>
      <c r="E10" s="49">
        <v>10</v>
      </c>
      <c r="F10" s="50">
        <v>10.5</v>
      </c>
    </row>
    <row r="11" spans="1:6" x14ac:dyDescent="0.2">
      <c r="A11" s="48" t="s">
        <v>151</v>
      </c>
      <c r="B11" s="49">
        <v>7</v>
      </c>
      <c r="C11" s="49">
        <v>11</v>
      </c>
      <c r="D11" s="49">
        <v>14</v>
      </c>
      <c r="E11" s="49">
        <v>12</v>
      </c>
      <c r="F11" s="50">
        <v>11</v>
      </c>
    </row>
    <row r="12" spans="1:6" x14ac:dyDescent="0.2">
      <c r="A12" s="48" t="s">
        <v>152</v>
      </c>
      <c r="B12" s="49">
        <v>26</v>
      </c>
      <c r="C12" s="49">
        <v>8</v>
      </c>
      <c r="D12" s="49">
        <v>8</v>
      </c>
      <c r="E12" s="49">
        <v>8</v>
      </c>
      <c r="F12" s="50">
        <v>12.5</v>
      </c>
    </row>
    <row r="13" spans="1:6" x14ac:dyDescent="0.2">
      <c r="A13" s="48" t="s">
        <v>153</v>
      </c>
      <c r="B13" s="49">
        <v>21</v>
      </c>
      <c r="C13" s="49">
        <v>6</v>
      </c>
      <c r="D13" s="49">
        <v>19</v>
      </c>
      <c r="E13" s="49">
        <v>6</v>
      </c>
      <c r="F13" s="50">
        <v>13</v>
      </c>
    </row>
    <row r="14" spans="1:6" x14ac:dyDescent="0.2">
      <c r="A14" s="48" t="s">
        <v>154</v>
      </c>
      <c r="B14" s="49">
        <v>15</v>
      </c>
      <c r="C14" s="49">
        <v>12</v>
      </c>
      <c r="D14" s="49">
        <v>16</v>
      </c>
      <c r="E14" s="49">
        <v>11</v>
      </c>
      <c r="F14" s="50">
        <v>13.5</v>
      </c>
    </row>
    <row r="15" spans="1:6" x14ac:dyDescent="0.2">
      <c r="A15" s="48" t="s">
        <v>155</v>
      </c>
      <c r="B15" s="49">
        <v>16</v>
      </c>
      <c r="C15" s="49">
        <v>15</v>
      </c>
      <c r="D15" s="49">
        <v>20</v>
      </c>
      <c r="E15" s="49">
        <v>15</v>
      </c>
      <c r="F15" s="50">
        <v>16.5</v>
      </c>
    </row>
    <row r="16" spans="1:6" x14ac:dyDescent="0.2">
      <c r="A16" s="48" t="s">
        <v>156</v>
      </c>
      <c r="B16" s="49">
        <v>17</v>
      </c>
      <c r="C16" s="49">
        <v>17</v>
      </c>
      <c r="D16" s="49">
        <v>17</v>
      </c>
      <c r="E16" s="49">
        <v>16</v>
      </c>
      <c r="F16" s="50">
        <v>16.75</v>
      </c>
    </row>
    <row r="17" spans="1:6" x14ac:dyDescent="0.2">
      <c r="A17" s="48" t="s">
        <v>157</v>
      </c>
      <c r="B17" s="49">
        <v>25</v>
      </c>
      <c r="C17" s="49">
        <v>16</v>
      </c>
      <c r="D17" s="49">
        <v>11</v>
      </c>
      <c r="E17" s="49">
        <v>17</v>
      </c>
      <c r="F17" s="50">
        <v>17.25</v>
      </c>
    </row>
    <row r="18" spans="1:6" x14ac:dyDescent="0.2">
      <c r="A18" s="48" t="s">
        <v>158</v>
      </c>
      <c r="B18" s="49">
        <v>11</v>
      </c>
      <c r="C18" s="49">
        <v>20</v>
      </c>
      <c r="D18" s="49">
        <v>22</v>
      </c>
      <c r="E18" s="49">
        <v>19</v>
      </c>
      <c r="F18" s="50">
        <v>18</v>
      </c>
    </row>
    <row r="19" spans="1:6" x14ac:dyDescent="0.2">
      <c r="A19" s="48" t="s">
        <v>159</v>
      </c>
      <c r="B19" s="49">
        <v>19</v>
      </c>
      <c r="C19" s="49">
        <v>22</v>
      </c>
      <c r="D19" s="49">
        <v>10</v>
      </c>
      <c r="E19" s="49">
        <v>21</v>
      </c>
      <c r="F19" s="50">
        <v>18</v>
      </c>
    </row>
    <row r="20" spans="1:6" x14ac:dyDescent="0.2">
      <c r="A20" s="48" t="s">
        <v>160</v>
      </c>
      <c r="B20" s="49">
        <v>8</v>
      </c>
      <c r="C20" s="49">
        <v>19</v>
      </c>
      <c r="D20" s="49">
        <v>25</v>
      </c>
      <c r="E20" s="49">
        <v>20</v>
      </c>
      <c r="F20" s="50">
        <v>18.25</v>
      </c>
    </row>
    <row r="21" spans="1:6" x14ac:dyDescent="0.2">
      <c r="A21" s="48" t="s">
        <v>161</v>
      </c>
      <c r="B21" s="49">
        <v>9</v>
      </c>
      <c r="C21" s="49">
        <v>23</v>
      </c>
      <c r="D21" s="49">
        <v>18</v>
      </c>
      <c r="E21" s="49">
        <v>23</v>
      </c>
      <c r="F21" s="50">
        <v>18.25</v>
      </c>
    </row>
    <row r="22" spans="1:6" x14ac:dyDescent="0.2">
      <c r="A22" s="48" t="s">
        <v>162</v>
      </c>
      <c r="B22" s="49">
        <v>24</v>
      </c>
      <c r="C22" s="49">
        <v>21</v>
      </c>
      <c r="D22" s="49">
        <v>7</v>
      </c>
      <c r="E22" s="49">
        <v>22</v>
      </c>
      <c r="F22" s="50">
        <v>18.5</v>
      </c>
    </row>
    <row r="23" spans="1:6" x14ac:dyDescent="0.2">
      <c r="A23" s="48" t="s">
        <v>163</v>
      </c>
      <c r="B23" s="49">
        <v>27</v>
      </c>
      <c r="C23" s="49">
        <v>14</v>
      </c>
      <c r="D23" s="49">
        <v>24</v>
      </c>
      <c r="E23" s="49">
        <v>14</v>
      </c>
      <c r="F23" s="50">
        <v>19.75</v>
      </c>
    </row>
    <row r="24" spans="1:6" x14ac:dyDescent="0.2">
      <c r="A24" s="48" t="s">
        <v>164</v>
      </c>
      <c r="B24" s="49">
        <v>28</v>
      </c>
      <c r="C24" s="49">
        <v>18</v>
      </c>
      <c r="D24" s="49">
        <v>21</v>
      </c>
      <c r="E24" s="49">
        <v>18</v>
      </c>
      <c r="F24" s="50">
        <v>21.25</v>
      </c>
    </row>
    <row r="25" spans="1:6" x14ac:dyDescent="0.2">
      <c r="A25" s="48" t="s">
        <v>165</v>
      </c>
      <c r="B25" s="49">
        <v>6</v>
      </c>
      <c r="C25" s="49">
        <v>27</v>
      </c>
      <c r="D25" s="49">
        <v>28</v>
      </c>
      <c r="E25" s="49">
        <v>26</v>
      </c>
      <c r="F25" s="50">
        <v>21.75</v>
      </c>
    </row>
    <row r="26" spans="1:6" x14ac:dyDescent="0.2">
      <c r="A26" s="48" t="s">
        <v>166</v>
      </c>
      <c r="B26" s="49">
        <v>20</v>
      </c>
      <c r="C26" s="49">
        <v>26</v>
      </c>
      <c r="D26" s="49">
        <v>15</v>
      </c>
      <c r="E26" s="49">
        <v>27</v>
      </c>
      <c r="F26" s="50">
        <v>22</v>
      </c>
    </row>
    <row r="27" spans="1:6" x14ac:dyDescent="0.2">
      <c r="A27" s="48" t="s">
        <v>167</v>
      </c>
      <c r="B27" s="49">
        <v>22</v>
      </c>
      <c r="C27" s="49">
        <v>25</v>
      </c>
      <c r="D27" s="49">
        <v>23</v>
      </c>
      <c r="E27" s="49">
        <v>25</v>
      </c>
      <c r="F27" s="50">
        <v>23.75</v>
      </c>
    </row>
    <row r="28" spans="1:6" x14ac:dyDescent="0.2">
      <c r="A28" s="48" t="s">
        <v>168</v>
      </c>
      <c r="B28" s="49">
        <v>14</v>
      </c>
      <c r="C28" s="49">
        <v>28</v>
      </c>
      <c r="D28" s="49">
        <v>27</v>
      </c>
      <c r="E28" s="49">
        <v>28</v>
      </c>
      <c r="F28" s="50">
        <v>24.25</v>
      </c>
    </row>
    <row r="29" spans="1:6" x14ac:dyDescent="0.2">
      <c r="A29" s="48" t="s">
        <v>169</v>
      </c>
      <c r="B29" s="49">
        <v>23</v>
      </c>
      <c r="C29" s="49">
        <v>24</v>
      </c>
      <c r="D29" s="49">
        <v>26</v>
      </c>
      <c r="E29" s="49">
        <v>24</v>
      </c>
      <c r="F29" s="50">
        <v>24.25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F5E6-3A22-4403-92FC-19E60988E18B}">
  <dimension ref="A1:CC114"/>
  <sheetViews>
    <sheetView topLeftCell="F84" workbookViewId="0">
      <selection activeCell="G1" sqref="G1"/>
    </sheetView>
  </sheetViews>
  <sheetFormatPr baseColWidth="10" defaultColWidth="11" defaultRowHeight="16" x14ac:dyDescent="0.2"/>
  <cols>
    <col min="6" max="6" width="10.83203125" customWidth="1"/>
    <col min="8" max="8" width="11.83203125" customWidth="1"/>
    <col min="24" max="24" width="11.5" customWidth="1"/>
    <col min="42" max="42" width="14.1640625" customWidth="1"/>
    <col min="43" max="43" width="13" customWidth="1"/>
    <col min="44" max="44" width="16.33203125" customWidth="1"/>
    <col min="45" max="45" width="18.6640625" customWidth="1"/>
    <col min="46" max="46" width="22.33203125" customWidth="1"/>
    <col min="47" max="47" width="24.83203125" customWidth="1"/>
    <col min="75" max="75" width="17.6640625" customWidth="1"/>
    <col min="76" max="76" width="18" customWidth="1"/>
    <col min="77" max="77" width="16" customWidth="1"/>
    <col min="78" max="78" width="13.83203125" customWidth="1"/>
    <col min="79" max="79" width="15.83203125" customWidth="1"/>
    <col min="80" max="80" width="16" customWidth="1"/>
  </cols>
  <sheetData>
    <row r="1" spans="1:80" ht="15.75" customHeight="1" x14ac:dyDescent="0.2">
      <c r="D1" s="55" t="s">
        <v>170</v>
      </c>
      <c r="E1" s="55"/>
      <c r="F1" s="55"/>
      <c r="G1" s="11"/>
      <c r="H1" s="56" t="s">
        <v>171</v>
      </c>
      <c r="I1" s="56"/>
      <c r="J1" s="56"/>
      <c r="K1" s="11"/>
      <c r="L1" s="57" t="s">
        <v>126</v>
      </c>
      <c r="M1" s="57"/>
      <c r="N1" s="57"/>
      <c r="O1" s="11"/>
      <c r="P1" s="58" t="s">
        <v>172</v>
      </c>
      <c r="Q1" s="58"/>
      <c r="R1" s="58"/>
      <c r="T1" s="59" t="s">
        <v>173</v>
      </c>
      <c r="U1" s="59"/>
      <c r="V1" s="59"/>
      <c r="X1" s="53" t="s">
        <v>174</v>
      </c>
      <c r="Y1" s="53"/>
      <c r="Z1" s="53"/>
      <c r="AB1" s="53" t="s">
        <v>175</v>
      </c>
      <c r="AC1" s="54"/>
      <c r="AD1" s="54"/>
      <c r="AN1" t="s">
        <v>176</v>
      </c>
      <c r="AY1" t="s">
        <v>177</v>
      </c>
      <c r="BJ1" t="s">
        <v>178</v>
      </c>
      <c r="BU1" t="s">
        <v>179</v>
      </c>
    </row>
    <row r="2" spans="1:80" x14ac:dyDescent="0.2">
      <c r="A2" t="s">
        <v>7</v>
      </c>
      <c r="B2" t="s">
        <v>9</v>
      </c>
      <c r="C2" t="s">
        <v>180</v>
      </c>
      <c r="D2" t="s">
        <v>176</v>
      </c>
      <c r="E2" t="s">
        <v>177</v>
      </c>
      <c r="F2" t="s">
        <v>178</v>
      </c>
      <c r="H2" t="s">
        <v>176</v>
      </c>
      <c r="I2" t="s">
        <v>177</v>
      </c>
      <c r="J2" t="s">
        <v>178</v>
      </c>
      <c r="L2" t="s">
        <v>176</v>
      </c>
      <c r="M2" t="s">
        <v>177</v>
      </c>
      <c r="N2" t="s">
        <v>178</v>
      </c>
      <c r="P2" t="s">
        <v>176</v>
      </c>
      <c r="Q2" t="s">
        <v>177</v>
      </c>
      <c r="R2" t="s">
        <v>178</v>
      </c>
      <c r="T2" t="s">
        <v>176</v>
      </c>
      <c r="U2" t="s">
        <v>177</v>
      </c>
      <c r="V2" t="s">
        <v>178</v>
      </c>
      <c r="X2" t="s">
        <v>176</v>
      </c>
      <c r="Y2" t="s">
        <v>177</v>
      </c>
      <c r="Z2" t="s">
        <v>178</v>
      </c>
      <c r="AB2" t="s">
        <v>176</v>
      </c>
      <c r="AC2" t="s">
        <v>177</v>
      </c>
      <c r="AD2" t="s">
        <v>178</v>
      </c>
      <c r="AI2" s="29"/>
      <c r="AJ2" s="28"/>
      <c r="AK2" s="28"/>
      <c r="AL2" s="28"/>
      <c r="AM2" s="28"/>
      <c r="AN2" s="30" t="s">
        <v>7</v>
      </c>
      <c r="AO2" s="30" t="s">
        <v>9</v>
      </c>
      <c r="AP2" s="30" t="s">
        <v>181</v>
      </c>
      <c r="AQ2" s="30" t="s">
        <v>182</v>
      </c>
      <c r="AR2" s="30" t="s">
        <v>183</v>
      </c>
      <c r="AS2" s="30" t="s">
        <v>184</v>
      </c>
      <c r="AT2" s="30" t="s">
        <v>185</v>
      </c>
      <c r="AU2" s="30" t="s">
        <v>186</v>
      </c>
      <c r="AX2" s="30"/>
      <c r="AY2" s="30" t="s">
        <v>7</v>
      </c>
      <c r="AZ2" s="30" t="s">
        <v>9</v>
      </c>
      <c r="BA2" s="30" t="s">
        <v>181</v>
      </c>
      <c r="BB2" s="30" t="s">
        <v>182</v>
      </c>
      <c r="BC2" s="30" t="s">
        <v>183</v>
      </c>
      <c r="BD2" s="30" t="s">
        <v>184</v>
      </c>
      <c r="BE2" s="30" t="s">
        <v>185</v>
      </c>
      <c r="BF2" s="30" t="s">
        <v>186</v>
      </c>
      <c r="BJ2" s="30" t="s">
        <v>7</v>
      </c>
      <c r="BK2" s="30" t="s">
        <v>9</v>
      </c>
      <c r="BL2" s="30" t="s">
        <v>181</v>
      </c>
      <c r="BM2" s="30" t="s">
        <v>182</v>
      </c>
      <c r="BN2" s="30" t="s">
        <v>183</v>
      </c>
      <c r="BO2" s="30" t="s">
        <v>184</v>
      </c>
      <c r="BP2" s="30" t="s">
        <v>185</v>
      </c>
      <c r="BQ2" s="30" t="s">
        <v>186</v>
      </c>
      <c r="BU2" s="31" t="s">
        <v>7</v>
      </c>
      <c r="BV2" s="31" t="s">
        <v>9</v>
      </c>
      <c r="BW2" s="31" t="s">
        <v>181</v>
      </c>
      <c r="BX2" s="31" t="s">
        <v>182</v>
      </c>
      <c r="BY2" s="31" t="s">
        <v>183</v>
      </c>
      <c r="BZ2" s="31" t="s">
        <v>184</v>
      </c>
      <c r="CA2" s="31" t="s">
        <v>185</v>
      </c>
      <c r="CB2" s="31" t="s">
        <v>186</v>
      </c>
    </row>
    <row r="3" spans="1:80" x14ac:dyDescent="0.2">
      <c r="A3">
        <v>2.1</v>
      </c>
      <c r="B3" t="s">
        <v>45</v>
      </c>
      <c r="C3" t="s">
        <v>187</v>
      </c>
      <c r="D3" s="12">
        <v>62.084507000000002</v>
      </c>
      <c r="E3" s="13">
        <v>60.1564464</v>
      </c>
      <c r="F3" s="14">
        <v>60.756338028168997</v>
      </c>
      <c r="H3" s="12">
        <v>14.719748600000001</v>
      </c>
      <c r="I3" s="13">
        <v>15.064695</v>
      </c>
      <c r="J3" s="14">
        <v>14.9292823467784</v>
      </c>
      <c r="K3" s="15"/>
      <c r="L3" s="12">
        <v>85.280251399999997</v>
      </c>
      <c r="M3" s="13">
        <v>84.935305</v>
      </c>
      <c r="N3" s="14">
        <v>85.070717653221607</v>
      </c>
      <c r="O3" s="15"/>
      <c r="P3" s="16">
        <v>3.8117839999999998</v>
      </c>
      <c r="Q3" s="17">
        <v>3.4451499999999999</v>
      </c>
      <c r="R3" s="14">
        <v>4.7482199999999999</v>
      </c>
      <c r="S3" s="15"/>
      <c r="T3" s="12">
        <v>71.803894</v>
      </c>
      <c r="U3" s="13">
        <v>70.711047500000006</v>
      </c>
      <c r="V3" s="14">
        <v>66.971807390388705</v>
      </c>
      <c r="X3" s="16">
        <f t="shared" ref="X3:X26" si="0">(D3-$D$27)/$D$28</f>
        <v>0.63396268229758856</v>
      </c>
      <c r="Y3" s="17">
        <f t="shared" ref="Y3:Y26" si="1">(E3-$E$27)/$E$28</f>
        <v>0.16979071273589189</v>
      </c>
      <c r="Z3" s="14">
        <f t="shared" ref="Z3:Z26" si="2">(F3-$F$27)/$F$28</f>
        <v>0.23499799217636028</v>
      </c>
      <c r="AB3" s="16">
        <f t="shared" ref="AB3:AB26" si="3">(T3-$T$27)/$T$28</f>
        <v>-0.30202785406247257</v>
      </c>
      <c r="AC3" s="17">
        <f t="shared" ref="AC3:AC26" si="4">(U3-$T$27)/$T$28</f>
        <v>-0.38024544771663843</v>
      </c>
      <c r="AD3" s="14">
        <f t="shared" ref="AD3:AD26" si="5">(V3-$V$27)/$V$28</f>
        <v>-0.10681763211942884</v>
      </c>
      <c r="AN3">
        <v>2.1</v>
      </c>
      <c r="AO3" t="s">
        <v>45</v>
      </c>
      <c r="AP3">
        <v>13</v>
      </c>
      <c r="AQ3">
        <v>10</v>
      </c>
      <c r="AR3">
        <v>4</v>
      </c>
      <c r="AS3">
        <v>12</v>
      </c>
      <c r="AT3">
        <v>4</v>
      </c>
      <c r="AU3">
        <v>11</v>
      </c>
      <c r="AY3">
        <v>2.1</v>
      </c>
      <c r="AZ3" t="s">
        <v>45</v>
      </c>
      <c r="BA3">
        <v>12</v>
      </c>
      <c r="BB3">
        <v>11</v>
      </c>
      <c r="BC3">
        <v>4</v>
      </c>
      <c r="BD3">
        <v>8</v>
      </c>
      <c r="BE3">
        <v>7</v>
      </c>
      <c r="BF3">
        <v>10</v>
      </c>
      <c r="BJ3">
        <v>2.1</v>
      </c>
      <c r="BK3" t="s">
        <v>45</v>
      </c>
      <c r="BL3">
        <v>15</v>
      </c>
      <c r="BM3">
        <v>11</v>
      </c>
      <c r="BN3">
        <v>6</v>
      </c>
      <c r="BO3">
        <v>16</v>
      </c>
      <c r="BP3">
        <v>6</v>
      </c>
      <c r="BQ3">
        <v>10</v>
      </c>
      <c r="BU3" s="34">
        <v>2.1</v>
      </c>
      <c r="BV3" s="34" t="s">
        <v>45</v>
      </c>
      <c r="BW3" s="33">
        <f>AVERAGE(AP3, BL3, BA3)</f>
        <v>13.333333333333334</v>
      </c>
      <c r="BX3" s="33">
        <f t="shared" ref="BX3:CB18" si="6">AVERAGE(AQ3, BM3, BB3)</f>
        <v>10.666666666666666</v>
      </c>
      <c r="BY3" s="33">
        <f t="shared" si="6"/>
        <v>4.666666666666667</v>
      </c>
      <c r="BZ3" s="33">
        <f t="shared" si="6"/>
        <v>12</v>
      </c>
      <c r="CA3" s="33">
        <f t="shared" si="6"/>
        <v>5.666666666666667</v>
      </c>
      <c r="CB3" s="33">
        <f t="shared" si="6"/>
        <v>10.333333333333334</v>
      </c>
    </row>
    <row r="4" spans="1:80" x14ac:dyDescent="0.2">
      <c r="A4">
        <v>2.1</v>
      </c>
      <c r="B4" t="s">
        <v>51</v>
      </c>
      <c r="C4" t="s">
        <v>188</v>
      </c>
      <c r="D4" s="12">
        <v>57.8267606</v>
      </c>
      <c r="E4" s="13">
        <v>58.3429036</v>
      </c>
      <c r="F4" s="14">
        <v>54.795614767913897</v>
      </c>
      <c r="H4" s="12">
        <v>13.9863803</v>
      </c>
      <c r="I4" s="13">
        <v>14.7966728</v>
      </c>
      <c r="J4" s="14">
        <v>14.0387637506548</v>
      </c>
      <c r="K4" s="15"/>
      <c r="L4" s="12">
        <v>86.013619700000007</v>
      </c>
      <c r="M4" s="13">
        <v>85.203327200000004</v>
      </c>
      <c r="N4" s="14">
        <v>85.961236249345205</v>
      </c>
      <c r="O4" s="15"/>
      <c r="P4" s="16">
        <v>31.290209000000001</v>
      </c>
      <c r="Q4" s="17">
        <v>40.127955</v>
      </c>
      <c r="R4" s="14">
        <v>46.935439000000002</v>
      </c>
      <c r="S4" s="15"/>
      <c r="T4" s="12">
        <v>76.259905500000002</v>
      </c>
      <c r="U4" s="13">
        <v>69.130346200000005</v>
      </c>
      <c r="V4" s="14">
        <v>76.249058633673997</v>
      </c>
      <c r="X4" s="16">
        <f t="shared" si="0"/>
        <v>0.1512822095501104</v>
      </c>
      <c r="Y4" s="17">
        <f t="shared" si="1"/>
        <v>-3.0598957245276285E-2</v>
      </c>
      <c r="Z4" s="14">
        <f t="shared" si="2"/>
        <v>-0.5340565216905121</v>
      </c>
      <c r="AB4" s="16">
        <f t="shared" si="3"/>
        <v>1.6899366572165841E-2</v>
      </c>
      <c r="AC4" s="17">
        <f t="shared" si="4"/>
        <v>-0.49337995651729116</v>
      </c>
      <c r="AD4" s="14">
        <f t="shared" si="5"/>
        <v>1.3118665004071386</v>
      </c>
      <c r="AN4">
        <v>2.1</v>
      </c>
      <c r="AO4" t="s">
        <v>51</v>
      </c>
      <c r="AP4">
        <v>4</v>
      </c>
      <c r="AQ4">
        <v>3</v>
      </c>
      <c r="AR4">
        <v>14</v>
      </c>
      <c r="AS4">
        <v>3</v>
      </c>
      <c r="AT4">
        <v>7</v>
      </c>
      <c r="AU4">
        <v>10</v>
      </c>
      <c r="AY4">
        <v>2.1</v>
      </c>
      <c r="AZ4" t="s">
        <v>51</v>
      </c>
      <c r="BA4">
        <v>9</v>
      </c>
      <c r="BB4">
        <v>7</v>
      </c>
      <c r="BC4">
        <v>16</v>
      </c>
      <c r="BD4">
        <v>10</v>
      </c>
      <c r="BE4">
        <v>9</v>
      </c>
      <c r="BF4">
        <v>14</v>
      </c>
      <c r="BJ4">
        <v>2.1</v>
      </c>
      <c r="BK4" t="s">
        <v>51</v>
      </c>
      <c r="BL4">
        <v>2</v>
      </c>
      <c r="BM4">
        <v>3</v>
      </c>
      <c r="BN4">
        <v>17</v>
      </c>
      <c r="BO4">
        <v>4</v>
      </c>
      <c r="BP4">
        <v>16</v>
      </c>
      <c r="BQ4">
        <v>2</v>
      </c>
      <c r="BU4" s="34">
        <v>2.1</v>
      </c>
      <c r="BV4" s="34" t="s">
        <v>51</v>
      </c>
      <c r="BW4" s="33">
        <f t="shared" ref="BW4:CB26" si="7">AVERAGE(AP4, BL4, BA4)</f>
        <v>5</v>
      </c>
      <c r="BX4" s="33">
        <f t="shared" si="6"/>
        <v>4.333333333333333</v>
      </c>
      <c r="BY4" s="33">
        <f t="shared" si="6"/>
        <v>15.666666666666666</v>
      </c>
      <c r="BZ4" s="33">
        <f t="shared" si="6"/>
        <v>5.666666666666667</v>
      </c>
      <c r="CA4" s="33">
        <f t="shared" si="6"/>
        <v>10.666666666666666</v>
      </c>
      <c r="CB4" s="33">
        <f t="shared" si="6"/>
        <v>8.6666666666666661</v>
      </c>
    </row>
    <row r="5" spans="1:80" x14ac:dyDescent="0.2">
      <c r="A5">
        <v>2.11</v>
      </c>
      <c r="B5" t="s">
        <v>51</v>
      </c>
      <c r="C5" t="s">
        <v>189</v>
      </c>
      <c r="D5" s="12">
        <v>57.448970699999997</v>
      </c>
      <c r="E5" s="13">
        <v>59.616251400000003</v>
      </c>
      <c r="F5" s="14">
        <v>61.826349499479697</v>
      </c>
      <c r="H5" s="12">
        <v>14.5625982</v>
      </c>
      <c r="I5" s="13">
        <v>17.051756000000001</v>
      </c>
      <c r="J5" s="14">
        <v>15.5055002619172</v>
      </c>
      <c r="K5" s="15"/>
      <c r="L5" s="12">
        <v>85.437401800000004</v>
      </c>
      <c r="M5" s="13">
        <v>82.948244000000003</v>
      </c>
      <c r="N5" s="14">
        <v>84.494499738082794</v>
      </c>
      <c r="O5" s="15"/>
      <c r="P5" s="16">
        <v>44.940085000000003</v>
      </c>
      <c r="Q5" s="17">
        <v>57.323014999999998</v>
      </c>
      <c r="R5" s="14">
        <v>55.913094000000001</v>
      </c>
      <c r="S5" s="15"/>
      <c r="T5" s="12">
        <v>70.149463699999998</v>
      </c>
      <c r="U5" s="13">
        <v>66.041104899999993</v>
      </c>
      <c r="V5" s="14">
        <v>67.670323703967199</v>
      </c>
      <c r="X5" s="16">
        <f t="shared" si="0"/>
        <v>0.10845396418274329</v>
      </c>
      <c r="Y5" s="17">
        <f t="shared" si="1"/>
        <v>0.11010119353872901</v>
      </c>
      <c r="Z5" s="14">
        <f t="shared" si="2"/>
        <v>0.37305123101530102</v>
      </c>
      <c r="AB5" s="16">
        <f t="shared" si="3"/>
        <v>-0.42043932075476703</v>
      </c>
      <c r="AC5" s="17">
        <f t="shared" si="4"/>
        <v>-0.71448422020214486</v>
      </c>
      <c r="AD5" s="14">
        <f t="shared" si="5"/>
        <v>0</v>
      </c>
      <c r="AN5">
        <v>2.11</v>
      </c>
      <c r="AO5" t="s">
        <v>51</v>
      </c>
      <c r="AP5">
        <v>10</v>
      </c>
      <c r="AQ5">
        <v>7</v>
      </c>
      <c r="AR5">
        <v>19</v>
      </c>
      <c r="AS5">
        <v>15</v>
      </c>
      <c r="AT5">
        <v>8</v>
      </c>
      <c r="AU5">
        <v>14</v>
      </c>
      <c r="AY5">
        <v>2.11</v>
      </c>
      <c r="AZ5" t="s">
        <v>51</v>
      </c>
      <c r="BA5">
        <v>20</v>
      </c>
      <c r="BB5">
        <v>21</v>
      </c>
      <c r="BC5">
        <v>20</v>
      </c>
      <c r="BD5">
        <v>14</v>
      </c>
      <c r="BE5">
        <v>8</v>
      </c>
      <c r="BF5">
        <v>17</v>
      </c>
      <c r="BJ5">
        <v>2.11</v>
      </c>
      <c r="BK5" t="s">
        <v>51</v>
      </c>
      <c r="BL5">
        <v>17</v>
      </c>
      <c r="BM5">
        <v>15</v>
      </c>
      <c r="BN5">
        <v>20</v>
      </c>
      <c r="BO5">
        <v>14</v>
      </c>
      <c r="BP5">
        <v>2</v>
      </c>
      <c r="BQ5">
        <v>11</v>
      </c>
      <c r="BU5" s="34">
        <v>2.11</v>
      </c>
      <c r="BV5" s="34" t="s">
        <v>51</v>
      </c>
      <c r="BW5" s="33">
        <f t="shared" si="7"/>
        <v>15.666666666666666</v>
      </c>
      <c r="BX5" s="33">
        <f t="shared" si="6"/>
        <v>14.333333333333334</v>
      </c>
      <c r="BY5" s="33">
        <f t="shared" si="6"/>
        <v>19.666666666666668</v>
      </c>
      <c r="BZ5" s="33">
        <f t="shared" si="6"/>
        <v>14.333333333333334</v>
      </c>
      <c r="CA5" s="33">
        <f t="shared" si="6"/>
        <v>6</v>
      </c>
      <c r="CB5" s="33">
        <f t="shared" si="6"/>
        <v>14</v>
      </c>
    </row>
    <row r="6" spans="1:80" x14ac:dyDescent="0.2">
      <c r="A6">
        <v>2.12</v>
      </c>
      <c r="B6" t="s">
        <v>51</v>
      </c>
      <c r="C6" t="s">
        <v>190</v>
      </c>
      <c r="D6" s="12">
        <v>57.848970700000002</v>
      </c>
      <c r="E6" s="13">
        <v>55.691874300000002</v>
      </c>
      <c r="F6" s="14">
        <v>75.038473376423497</v>
      </c>
      <c r="H6" s="12">
        <v>13.881613400000001</v>
      </c>
      <c r="I6" s="13">
        <v>14.528650600000001</v>
      </c>
      <c r="J6" s="14">
        <v>26.8867924528302</v>
      </c>
      <c r="K6" s="15"/>
      <c r="L6" s="12">
        <v>86.118386599999994</v>
      </c>
      <c r="M6" s="13">
        <v>85.471349399999994</v>
      </c>
      <c r="N6" s="14">
        <v>73.113207547169793</v>
      </c>
      <c r="O6" s="15"/>
      <c r="P6" s="16">
        <v>0.78730199999999995</v>
      </c>
      <c r="Q6" s="17">
        <v>2.8168929999999999</v>
      </c>
      <c r="R6" s="14">
        <v>0.78720800000000002</v>
      </c>
      <c r="S6" s="15"/>
      <c r="T6" s="12">
        <v>74.463759899999999</v>
      </c>
      <c r="U6" s="13">
        <v>74.883482999999998</v>
      </c>
      <c r="V6" s="14"/>
      <c r="X6" s="16">
        <f t="shared" si="0"/>
        <v>0.15380006302484295</v>
      </c>
      <c r="Y6" s="17">
        <f t="shared" si="1"/>
        <v>-0.32352774091523251</v>
      </c>
      <c r="Z6" s="14">
        <f t="shared" si="2"/>
        <v>2.0776838840831533</v>
      </c>
      <c r="AB6" s="16">
        <f t="shared" si="3"/>
        <v>-0.11165499736139571</v>
      </c>
      <c r="AC6" s="17">
        <f t="shared" si="4"/>
        <v>-8.1614428184418955E-2</v>
      </c>
      <c r="AD6" s="14">
        <f t="shared" si="5"/>
        <v>-10.348196029641844</v>
      </c>
      <c r="AN6">
        <v>2.12</v>
      </c>
      <c r="AO6" t="s">
        <v>51</v>
      </c>
      <c r="AP6">
        <v>2</v>
      </c>
      <c r="AQ6">
        <v>2</v>
      </c>
      <c r="AR6">
        <v>1</v>
      </c>
      <c r="AS6">
        <v>5</v>
      </c>
      <c r="AT6">
        <v>7</v>
      </c>
      <c r="AU6">
        <v>9</v>
      </c>
      <c r="AY6">
        <v>2.12</v>
      </c>
      <c r="AZ6" t="s">
        <v>51</v>
      </c>
      <c r="BA6">
        <v>7</v>
      </c>
      <c r="BB6">
        <v>4</v>
      </c>
      <c r="BC6">
        <v>2</v>
      </c>
      <c r="BD6">
        <v>4</v>
      </c>
      <c r="BE6">
        <v>14</v>
      </c>
      <c r="BF6">
        <v>7</v>
      </c>
      <c r="BJ6">
        <v>2.12</v>
      </c>
      <c r="BK6" t="s">
        <v>51</v>
      </c>
      <c r="BL6">
        <v>24</v>
      </c>
      <c r="BM6">
        <v>24</v>
      </c>
      <c r="BN6">
        <v>1</v>
      </c>
      <c r="BO6" t="s">
        <v>191</v>
      </c>
      <c r="BP6">
        <v>1</v>
      </c>
      <c r="BQ6">
        <v>24</v>
      </c>
      <c r="BU6" s="34">
        <v>2.12</v>
      </c>
      <c r="BV6" s="34" t="s">
        <v>51</v>
      </c>
      <c r="BW6" s="33">
        <f t="shared" si="7"/>
        <v>11</v>
      </c>
      <c r="BX6" s="33">
        <f t="shared" si="6"/>
        <v>10</v>
      </c>
      <c r="BY6" s="33">
        <f t="shared" si="6"/>
        <v>1.3333333333333333</v>
      </c>
      <c r="BZ6" s="33">
        <f t="shared" si="6"/>
        <v>4.5</v>
      </c>
      <c r="CA6" s="33">
        <f t="shared" si="6"/>
        <v>7.333333333333333</v>
      </c>
      <c r="CB6" s="33">
        <f t="shared" si="6"/>
        <v>13.333333333333334</v>
      </c>
    </row>
    <row r="7" spans="1:80" x14ac:dyDescent="0.2">
      <c r="A7">
        <v>2.13</v>
      </c>
      <c r="B7" t="s">
        <v>51</v>
      </c>
      <c r="C7" t="s">
        <v>192</v>
      </c>
      <c r="D7" s="12">
        <v>58.5802817</v>
      </c>
      <c r="E7" s="13">
        <v>59.706500499999997</v>
      </c>
      <c r="F7" s="14">
        <v>60.641820151679298</v>
      </c>
      <c r="H7" s="12">
        <v>19.381875300000001</v>
      </c>
      <c r="I7" s="13">
        <v>21.756007400000001</v>
      </c>
      <c r="J7" s="14">
        <v>15.251572327044</v>
      </c>
      <c r="K7" s="15"/>
      <c r="L7" s="12">
        <v>80.618124699999996</v>
      </c>
      <c r="M7" s="13">
        <v>78.243992599999999</v>
      </c>
      <c r="N7" s="14">
        <v>84.748427672955998</v>
      </c>
      <c r="O7" s="15"/>
      <c r="P7" s="16">
        <v>94.005886000000004</v>
      </c>
      <c r="Q7" s="17">
        <v>95.759724000000006</v>
      </c>
      <c r="R7" s="14">
        <v>81.609824000000003</v>
      </c>
      <c r="S7" s="15"/>
      <c r="T7" s="12">
        <v>60.177759999999999</v>
      </c>
      <c r="U7" s="13">
        <v>58.209566600000002</v>
      </c>
      <c r="V7" s="14">
        <v>75.878867676102701</v>
      </c>
      <c r="X7" s="16">
        <f t="shared" si="0"/>
        <v>0.23670531525062835</v>
      </c>
      <c r="Y7" s="17">
        <f t="shared" si="1"/>
        <v>0.12007338022497444</v>
      </c>
      <c r="Z7" s="14">
        <f t="shared" si="2"/>
        <v>0.22022285735000643</v>
      </c>
      <c r="AB7" s="16">
        <f t="shared" si="3"/>
        <v>-1.1341376013882749</v>
      </c>
      <c r="AC7" s="17">
        <f t="shared" si="4"/>
        <v>-1.2750058309099981</v>
      </c>
      <c r="AD7" s="14">
        <f t="shared" si="5"/>
        <v>1.2552566249452304</v>
      </c>
      <c r="AN7">
        <v>2.13</v>
      </c>
      <c r="AO7" t="s">
        <v>51</v>
      </c>
      <c r="AP7">
        <v>24</v>
      </c>
      <c r="AQ7">
        <v>23</v>
      </c>
      <c r="AR7">
        <v>23</v>
      </c>
      <c r="AS7">
        <v>23</v>
      </c>
      <c r="AT7">
        <v>5</v>
      </c>
      <c r="AU7">
        <v>23</v>
      </c>
      <c r="AY7">
        <v>2.13</v>
      </c>
      <c r="AZ7" t="s">
        <v>51</v>
      </c>
      <c r="BA7">
        <v>24</v>
      </c>
      <c r="BB7">
        <v>24</v>
      </c>
      <c r="BC7">
        <v>23</v>
      </c>
      <c r="BD7">
        <v>23</v>
      </c>
      <c r="BE7">
        <v>6</v>
      </c>
      <c r="BF7">
        <v>23</v>
      </c>
      <c r="BJ7">
        <v>2.13</v>
      </c>
      <c r="BK7" t="s">
        <v>51</v>
      </c>
      <c r="BL7">
        <v>14</v>
      </c>
      <c r="BM7">
        <v>14</v>
      </c>
      <c r="BN7">
        <v>22</v>
      </c>
      <c r="BO7">
        <v>5</v>
      </c>
      <c r="BP7">
        <v>7</v>
      </c>
      <c r="BQ7">
        <v>3</v>
      </c>
      <c r="BU7" s="34">
        <v>2.13</v>
      </c>
      <c r="BV7" s="34" t="s">
        <v>51</v>
      </c>
      <c r="BW7" s="33">
        <f t="shared" si="7"/>
        <v>20.666666666666668</v>
      </c>
      <c r="BX7" s="33">
        <f t="shared" si="6"/>
        <v>20.333333333333332</v>
      </c>
      <c r="BY7" s="33">
        <f t="shared" si="6"/>
        <v>22.666666666666668</v>
      </c>
      <c r="BZ7" s="33">
        <f t="shared" si="6"/>
        <v>17</v>
      </c>
      <c r="CA7" s="33">
        <f t="shared" si="6"/>
        <v>6</v>
      </c>
      <c r="CB7" s="33">
        <f t="shared" si="6"/>
        <v>16.333333333333332</v>
      </c>
    </row>
    <row r="8" spans="1:80" x14ac:dyDescent="0.2">
      <c r="A8">
        <v>2.14</v>
      </c>
      <c r="B8" t="s">
        <v>51</v>
      </c>
      <c r="C8" t="s">
        <v>193</v>
      </c>
      <c r="D8" s="12">
        <v>57.004550399999999</v>
      </c>
      <c r="E8" s="13">
        <v>59.153087800000002</v>
      </c>
      <c r="F8" s="14">
        <v>60.875731310942598</v>
      </c>
      <c r="H8" s="12">
        <v>14.772131999999999</v>
      </c>
      <c r="I8" s="13">
        <v>15.5452865</v>
      </c>
      <c r="J8" s="14">
        <v>20.597484276729599</v>
      </c>
      <c r="K8" s="15"/>
      <c r="L8" s="12">
        <v>85.227868000000001</v>
      </c>
      <c r="M8" s="13">
        <v>84.454713499999997</v>
      </c>
      <c r="N8" s="14">
        <v>79.402515723270398</v>
      </c>
      <c r="O8" s="15"/>
      <c r="P8" s="16">
        <v>41.586708000000002</v>
      </c>
      <c r="Q8" s="17">
        <v>54.462150999999999</v>
      </c>
      <c r="R8" s="14">
        <v>56.153759999999998</v>
      </c>
      <c r="S8" s="15"/>
      <c r="T8" s="12">
        <v>71.485145900000006</v>
      </c>
      <c r="U8" s="13">
        <v>68.802579899999998</v>
      </c>
      <c r="V8" s="14"/>
      <c r="X8" s="16">
        <f t="shared" si="0"/>
        <v>5.8072147054655382E-2</v>
      </c>
      <c r="Y8" s="17">
        <f t="shared" si="1"/>
        <v>5.8923354807109293E-2</v>
      </c>
      <c r="Z8" s="14">
        <f t="shared" si="2"/>
        <v>0.25040215355634887</v>
      </c>
      <c r="AB8" s="16">
        <f t="shared" si="3"/>
        <v>-0.32484140506331033</v>
      </c>
      <c r="AC8" s="17">
        <f t="shared" si="4"/>
        <v>-0.51683896129694695</v>
      </c>
      <c r="AD8" s="14">
        <f t="shared" si="5"/>
        <v>-10.348196029641844</v>
      </c>
      <c r="AN8">
        <v>2.14</v>
      </c>
      <c r="AO8" t="s">
        <v>51</v>
      </c>
      <c r="AP8">
        <v>15</v>
      </c>
      <c r="AQ8">
        <v>11</v>
      </c>
      <c r="AR8">
        <v>18</v>
      </c>
      <c r="AS8">
        <v>13</v>
      </c>
      <c r="AT8">
        <v>9</v>
      </c>
      <c r="AU8">
        <v>12</v>
      </c>
      <c r="AY8">
        <v>2.14</v>
      </c>
      <c r="AZ8" t="s">
        <v>51</v>
      </c>
      <c r="BA8">
        <v>14</v>
      </c>
      <c r="BB8">
        <v>13</v>
      </c>
      <c r="BC8">
        <v>19</v>
      </c>
      <c r="BD8">
        <v>11</v>
      </c>
      <c r="BE8">
        <v>10</v>
      </c>
      <c r="BF8">
        <v>16</v>
      </c>
      <c r="BJ8">
        <v>2.14</v>
      </c>
      <c r="BK8" t="s">
        <v>51</v>
      </c>
      <c r="BL8">
        <v>23</v>
      </c>
      <c r="BM8">
        <v>19</v>
      </c>
      <c r="BN8">
        <v>19</v>
      </c>
      <c r="BO8" t="s">
        <v>191</v>
      </c>
      <c r="BP8">
        <v>5</v>
      </c>
      <c r="BQ8">
        <v>24</v>
      </c>
      <c r="BU8" s="34">
        <v>2.14</v>
      </c>
      <c r="BV8" s="34" t="s">
        <v>51</v>
      </c>
      <c r="BW8" s="33">
        <f t="shared" si="7"/>
        <v>17.333333333333332</v>
      </c>
      <c r="BX8" s="33">
        <f t="shared" si="6"/>
        <v>14.333333333333334</v>
      </c>
      <c r="BY8" s="33">
        <f t="shared" si="6"/>
        <v>18.666666666666668</v>
      </c>
      <c r="BZ8" s="33">
        <f t="shared" si="6"/>
        <v>12</v>
      </c>
      <c r="CA8" s="33">
        <f t="shared" si="6"/>
        <v>8</v>
      </c>
      <c r="CB8" s="33">
        <f t="shared" si="6"/>
        <v>17.333333333333332</v>
      </c>
    </row>
    <row r="9" spans="1:80" x14ac:dyDescent="0.2">
      <c r="A9">
        <v>2.15</v>
      </c>
      <c r="B9" t="s">
        <v>58</v>
      </c>
      <c r="C9" t="s">
        <v>194</v>
      </c>
      <c r="D9" s="12">
        <v>59.1172264</v>
      </c>
      <c r="E9" s="13">
        <v>58.060888400000003</v>
      </c>
      <c r="F9" s="14">
        <v>58.175406283857001</v>
      </c>
      <c r="H9" s="12">
        <v>14.5625982</v>
      </c>
      <c r="I9" s="13">
        <v>15.693160799999999</v>
      </c>
      <c r="J9" s="14">
        <v>14.1435306443164</v>
      </c>
      <c r="K9" s="15"/>
      <c r="L9" s="12">
        <v>85.437401800000004</v>
      </c>
      <c r="M9" s="13">
        <v>84.306839199999999</v>
      </c>
      <c r="N9" s="14">
        <v>85.8564693556836</v>
      </c>
      <c r="O9" s="15"/>
      <c r="P9" s="16">
        <v>58.458947000000002</v>
      </c>
      <c r="Q9" s="17">
        <v>69.776713999999998</v>
      </c>
      <c r="R9" s="14">
        <v>63.526775000000001</v>
      </c>
      <c r="S9" s="15"/>
      <c r="T9" s="12">
        <v>71.822066899999996</v>
      </c>
      <c r="U9" s="13">
        <v>70.372053800000003</v>
      </c>
      <c r="V9" s="14">
        <v>76.396577993545904</v>
      </c>
      <c r="X9" s="16">
        <f t="shared" si="0"/>
        <v>0.29757618384798129</v>
      </c>
      <c r="Y9" s="17">
        <f t="shared" si="1"/>
        <v>-6.1760577945748546E-2</v>
      </c>
      <c r="Z9" s="14">
        <f t="shared" si="2"/>
        <v>-9.7994686947027621E-2</v>
      </c>
      <c r="AB9" s="16">
        <f t="shared" si="3"/>
        <v>-0.30072717687888134</v>
      </c>
      <c r="AC9" s="17">
        <f t="shared" si="4"/>
        <v>-0.40450802391368218</v>
      </c>
      <c r="AD9" s="14">
        <f t="shared" si="5"/>
        <v>1.3344252701981614</v>
      </c>
      <c r="AN9">
        <v>2.15</v>
      </c>
      <c r="AO9" t="s">
        <v>58</v>
      </c>
      <c r="AP9">
        <v>10</v>
      </c>
      <c r="AQ9">
        <v>8</v>
      </c>
      <c r="AR9">
        <v>21</v>
      </c>
      <c r="AS9">
        <v>11</v>
      </c>
      <c r="AT9">
        <v>3</v>
      </c>
      <c r="AU9">
        <v>11</v>
      </c>
      <c r="AY9">
        <v>2.15</v>
      </c>
      <c r="AZ9" t="s">
        <v>58</v>
      </c>
      <c r="BA9">
        <v>15</v>
      </c>
      <c r="BB9">
        <v>15</v>
      </c>
      <c r="BC9">
        <v>21</v>
      </c>
      <c r="BD9">
        <v>9</v>
      </c>
      <c r="BE9">
        <v>11</v>
      </c>
      <c r="BF9">
        <v>12</v>
      </c>
      <c r="BJ9">
        <v>2.15</v>
      </c>
      <c r="BK9" t="s">
        <v>58</v>
      </c>
      <c r="BL9">
        <v>3</v>
      </c>
      <c r="BM9">
        <v>5</v>
      </c>
      <c r="BN9">
        <v>21</v>
      </c>
      <c r="BO9">
        <v>3</v>
      </c>
      <c r="BP9">
        <v>11</v>
      </c>
      <c r="BQ9">
        <v>1</v>
      </c>
      <c r="BU9" s="34">
        <v>2.15</v>
      </c>
      <c r="BV9" s="34" t="s">
        <v>58</v>
      </c>
      <c r="BW9" s="33">
        <f t="shared" si="7"/>
        <v>9.3333333333333339</v>
      </c>
      <c r="BX9" s="33">
        <f t="shared" si="6"/>
        <v>9.3333333333333339</v>
      </c>
      <c r="BY9" s="33">
        <f t="shared" si="6"/>
        <v>21</v>
      </c>
      <c r="BZ9" s="33">
        <f t="shared" si="6"/>
        <v>7.666666666666667</v>
      </c>
      <c r="CA9" s="33">
        <f t="shared" si="6"/>
        <v>8.3333333333333339</v>
      </c>
      <c r="CB9" s="33">
        <f t="shared" si="6"/>
        <v>8</v>
      </c>
    </row>
    <row r="10" spans="1:80" x14ac:dyDescent="0.2">
      <c r="A10">
        <v>2.16</v>
      </c>
      <c r="B10" t="s">
        <v>58</v>
      </c>
      <c r="C10" t="s">
        <v>195</v>
      </c>
      <c r="D10" s="12">
        <v>50</v>
      </c>
      <c r="E10" s="13">
        <v>50.176056299999999</v>
      </c>
      <c r="F10" s="14">
        <v>60.629794149512499</v>
      </c>
      <c r="H10" s="12">
        <v>14.8768989</v>
      </c>
      <c r="I10" s="13">
        <v>14.879852100000001</v>
      </c>
      <c r="J10" s="14">
        <v>16.815086432687298</v>
      </c>
      <c r="K10" s="15"/>
      <c r="L10" s="12">
        <v>85.1231011</v>
      </c>
      <c r="M10" s="13">
        <v>85.120147900000006</v>
      </c>
      <c r="N10" s="14">
        <v>83.184913567312705</v>
      </c>
      <c r="O10" s="15"/>
      <c r="P10" s="16">
        <v>36.753915999999997</v>
      </c>
      <c r="Q10" s="17">
        <v>65.589530999999994</v>
      </c>
      <c r="R10" s="14">
        <v>64.835871999999995</v>
      </c>
      <c r="S10" s="15"/>
      <c r="T10" s="12">
        <v>85.1231011</v>
      </c>
      <c r="U10" s="13">
        <v>92.583857399999999</v>
      </c>
      <c r="V10" s="14">
        <v>70.808329197310798</v>
      </c>
      <c r="X10" s="16">
        <f t="shared" si="0"/>
        <v>-0.73600043990250463</v>
      </c>
      <c r="Y10" s="17">
        <f t="shared" si="1"/>
        <v>-0.93300491933979868</v>
      </c>
      <c r="Z10" s="14">
        <f t="shared" si="2"/>
        <v>0.21867125851772756</v>
      </c>
      <c r="AB10" s="16">
        <f t="shared" si="3"/>
        <v>0.65125911601382547</v>
      </c>
      <c r="AC10" s="17">
        <f t="shared" si="4"/>
        <v>1.185242987148666</v>
      </c>
      <c r="AD10" s="14">
        <f t="shared" si="5"/>
        <v>0.4798661246142199</v>
      </c>
      <c r="AN10">
        <v>2.16</v>
      </c>
      <c r="AO10" t="s">
        <v>58</v>
      </c>
      <c r="AP10">
        <v>16</v>
      </c>
      <c r="AQ10">
        <v>12</v>
      </c>
      <c r="AR10">
        <v>16</v>
      </c>
      <c r="AS10">
        <v>1</v>
      </c>
      <c r="AT10">
        <v>21</v>
      </c>
      <c r="AU10">
        <v>1</v>
      </c>
      <c r="AY10">
        <v>2.16</v>
      </c>
      <c r="AZ10" t="s">
        <v>58</v>
      </c>
      <c r="BA10">
        <v>10</v>
      </c>
      <c r="BB10">
        <v>12</v>
      </c>
      <c r="BC10">
        <v>22</v>
      </c>
      <c r="BD10">
        <v>1</v>
      </c>
      <c r="BE10">
        <v>22</v>
      </c>
      <c r="BF10">
        <v>1</v>
      </c>
      <c r="BJ10">
        <v>2.16</v>
      </c>
      <c r="BK10" t="s">
        <v>58</v>
      </c>
      <c r="BL10">
        <v>18</v>
      </c>
      <c r="BM10">
        <v>18</v>
      </c>
      <c r="BN10">
        <v>22</v>
      </c>
      <c r="BO10">
        <v>9</v>
      </c>
      <c r="BP10">
        <v>8</v>
      </c>
      <c r="BQ10">
        <v>8</v>
      </c>
      <c r="BU10" s="34">
        <v>2.16</v>
      </c>
      <c r="BV10" s="34" t="s">
        <v>58</v>
      </c>
      <c r="BW10" s="33">
        <f t="shared" si="7"/>
        <v>14.666666666666666</v>
      </c>
      <c r="BX10" s="33">
        <f t="shared" si="6"/>
        <v>14</v>
      </c>
      <c r="BY10" s="33">
        <f t="shared" si="6"/>
        <v>20</v>
      </c>
      <c r="BZ10" s="33">
        <f t="shared" si="6"/>
        <v>3.6666666666666665</v>
      </c>
      <c r="CA10" s="33">
        <f t="shared" si="6"/>
        <v>17</v>
      </c>
      <c r="CB10" s="33">
        <f t="shared" si="6"/>
        <v>3.3333333333333335</v>
      </c>
    </row>
    <row r="11" spans="1:80" x14ac:dyDescent="0.2">
      <c r="A11">
        <v>2.17</v>
      </c>
      <c r="B11" t="s">
        <v>58</v>
      </c>
      <c r="C11" t="s">
        <v>196</v>
      </c>
      <c r="D11" s="12">
        <v>51.178701099999998</v>
      </c>
      <c r="E11" s="13">
        <v>53.777464799999997</v>
      </c>
      <c r="F11" s="14">
        <v>60.270179759744202</v>
      </c>
      <c r="H11" s="12">
        <v>15.4007334</v>
      </c>
      <c r="I11" s="13">
        <v>14.556377100000001</v>
      </c>
      <c r="J11" s="14">
        <v>14.2295597484277</v>
      </c>
      <c r="K11" s="15"/>
      <c r="L11" s="12">
        <v>84.599266600000007</v>
      </c>
      <c r="M11" s="13">
        <v>85.443622899999994</v>
      </c>
      <c r="N11" s="14">
        <v>85.770440251572296</v>
      </c>
      <c r="O11" s="15"/>
      <c r="P11" s="16">
        <v>35.753304</v>
      </c>
      <c r="Q11" s="17">
        <v>51.361924000000002</v>
      </c>
      <c r="R11" s="14">
        <v>39.558266000000003</v>
      </c>
      <c r="S11" s="15"/>
      <c r="T11" s="12">
        <v>63.141349900000002</v>
      </c>
      <c r="U11" s="13">
        <v>68.053311800000003</v>
      </c>
      <c r="V11" s="14">
        <v>64.384550004498294</v>
      </c>
      <c r="X11" s="16">
        <f t="shared" si="0"/>
        <v>-0.60237669843777786</v>
      </c>
      <c r="Y11" s="17">
        <f t="shared" si="1"/>
        <v>-0.53506280251610239</v>
      </c>
      <c r="Z11" s="14">
        <f t="shared" si="2"/>
        <v>0.17227368935915652</v>
      </c>
      <c r="AB11" s="16">
        <f t="shared" si="3"/>
        <v>-0.92202650385006468</v>
      </c>
      <c r="AC11" s="17">
        <f t="shared" si="4"/>
        <v>-0.57046584099489983</v>
      </c>
      <c r="AD11" s="14">
        <f t="shared" si="5"/>
        <v>-0.50246294815865267</v>
      </c>
      <c r="AN11">
        <v>2.17</v>
      </c>
      <c r="AO11" t="s">
        <v>58</v>
      </c>
      <c r="AP11">
        <v>19</v>
      </c>
      <c r="AQ11">
        <v>20</v>
      </c>
      <c r="AR11">
        <v>15</v>
      </c>
      <c r="AS11">
        <v>21</v>
      </c>
      <c r="AT11">
        <v>18</v>
      </c>
      <c r="AU11">
        <v>19</v>
      </c>
      <c r="AY11">
        <v>2.17</v>
      </c>
      <c r="AZ11" t="s">
        <v>58</v>
      </c>
      <c r="BA11">
        <v>8</v>
      </c>
      <c r="BB11">
        <v>6</v>
      </c>
      <c r="BC11">
        <v>18</v>
      </c>
      <c r="BD11">
        <v>12</v>
      </c>
      <c r="BE11">
        <v>16</v>
      </c>
      <c r="BF11">
        <v>15</v>
      </c>
      <c r="BJ11">
        <v>2.17</v>
      </c>
      <c r="BK11" t="s">
        <v>58</v>
      </c>
      <c r="BL11">
        <v>4</v>
      </c>
      <c r="BM11">
        <v>6</v>
      </c>
      <c r="BN11">
        <v>12</v>
      </c>
      <c r="BO11">
        <v>19</v>
      </c>
      <c r="BP11">
        <v>10</v>
      </c>
      <c r="BQ11">
        <v>14</v>
      </c>
      <c r="BU11" s="34">
        <v>2.17</v>
      </c>
      <c r="BV11" s="34" t="s">
        <v>58</v>
      </c>
      <c r="BW11" s="33">
        <f t="shared" si="7"/>
        <v>10.333333333333334</v>
      </c>
      <c r="BX11" s="33">
        <f t="shared" si="6"/>
        <v>10.666666666666666</v>
      </c>
      <c r="BY11" s="33">
        <f t="shared" si="6"/>
        <v>15</v>
      </c>
      <c r="BZ11" s="33">
        <f t="shared" si="6"/>
        <v>17.333333333333332</v>
      </c>
      <c r="CA11" s="33">
        <f t="shared" si="6"/>
        <v>14.666666666666666</v>
      </c>
      <c r="CB11" s="33">
        <f t="shared" si="6"/>
        <v>16</v>
      </c>
    </row>
    <row r="12" spans="1:80" x14ac:dyDescent="0.2">
      <c r="A12">
        <v>2.1800000000000002</v>
      </c>
      <c r="B12" t="s">
        <v>62</v>
      </c>
      <c r="C12" t="s">
        <v>197</v>
      </c>
      <c r="D12" s="12">
        <v>50.528168999999998</v>
      </c>
      <c r="E12" s="13">
        <v>51.232394399999997</v>
      </c>
      <c r="F12" s="14">
        <v>59.694464294269196</v>
      </c>
      <c r="H12" s="12">
        <v>14.798323699999999</v>
      </c>
      <c r="I12" s="13">
        <v>14.778188500000001</v>
      </c>
      <c r="J12" s="14">
        <v>16.0031430068098</v>
      </c>
      <c r="K12" s="15"/>
      <c r="L12" s="12">
        <v>85.1231011</v>
      </c>
      <c r="M12" s="13">
        <v>85.221811500000001</v>
      </c>
      <c r="N12" s="14">
        <v>83.996856993190192</v>
      </c>
      <c r="O12" s="15"/>
      <c r="P12" s="16">
        <v>1.4101220000000001</v>
      </c>
      <c r="Q12" s="17">
        <v>0.89746599999999999</v>
      </c>
      <c r="R12" s="14">
        <v>2.8937460000000002</v>
      </c>
      <c r="S12" s="15"/>
      <c r="T12" s="12">
        <v>92.628541400000003</v>
      </c>
      <c r="U12" s="13">
        <v>92.718191399999995</v>
      </c>
      <c r="V12" s="14">
        <v>70.696819649245299</v>
      </c>
      <c r="X12" s="16">
        <f t="shared" si="0"/>
        <v>-0.67612443070417338</v>
      </c>
      <c r="Y12" s="17">
        <f t="shared" si="1"/>
        <v>-0.81628352558634898</v>
      </c>
      <c r="Z12" s="14">
        <f t="shared" si="2"/>
        <v>9.7994686947027621E-2</v>
      </c>
      <c r="AB12" s="16">
        <f t="shared" si="3"/>
        <v>1.1884411260957579</v>
      </c>
      <c r="AC12" s="17">
        <f t="shared" si="4"/>
        <v>1.1948575873930172</v>
      </c>
      <c r="AD12" s="14">
        <f t="shared" si="5"/>
        <v>0.46281400191998634</v>
      </c>
      <c r="AN12">
        <v>2.1800000000000002</v>
      </c>
      <c r="AO12" t="s">
        <v>62</v>
      </c>
      <c r="AP12">
        <v>14</v>
      </c>
      <c r="AQ12">
        <v>13</v>
      </c>
      <c r="AR12">
        <v>3</v>
      </c>
      <c r="AS12">
        <v>1</v>
      </c>
      <c r="AT12">
        <v>19</v>
      </c>
      <c r="AU12">
        <v>1</v>
      </c>
      <c r="AY12">
        <v>2.1800000000000002</v>
      </c>
      <c r="AZ12" t="s">
        <v>62</v>
      </c>
      <c r="BA12">
        <v>8</v>
      </c>
      <c r="BB12">
        <v>5</v>
      </c>
      <c r="BC12">
        <v>1</v>
      </c>
      <c r="BD12">
        <v>1</v>
      </c>
      <c r="BE12">
        <v>20</v>
      </c>
      <c r="BF12">
        <v>1</v>
      </c>
      <c r="BJ12">
        <v>2.1800000000000002</v>
      </c>
      <c r="BK12" t="s">
        <v>62</v>
      </c>
      <c r="BL12">
        <v>12</v>
      </c>
      <c r="BM12">
        <v>17</v>
      </c>
      <c r="BN12">
        <v>5</v>
      </c>
      <c r="BO12">
        <v>10</v>
      </c>
      <c r="BP12">
        <v>12</v>
      </c>
      <c r="BQ12">
        <v>9</v>
      </c>
      <c r="BU12" s="34">
        <v>2.1800000000000002</v>
      </c>
      <c r="BV12" s="34" t="s">
        <v>62</v>
      </c>
      <c r="BW12" s="33">
        <f t="shared" si="7"/>
        <v>11.333333333333334</v>
      </c>
      <c r="BX12" s="33">
        <f t="shared" si="6"/>
        <v>11.666666666666666</v>
      </c>
      <c r="BY12" s="33">
        <f t="shared" si="6"/>
        <v>3</v>
      </c>
      <c r="BZ12" s="33">
        <f t="shared" si="6"/>
        <v>4</v>
      </c>
      <c r="CA12" s="33">
        <f t="shared" si="6"/>
        <v>17</v>
      </c>
      <c r="CB12" s="33">
        <f t="shared" si="6"/>
        <v>3.6666666666666665</v>
      </c>
    </row>
    <row r="13" spans="1:80" x14ac:dyDescent="0.2">
      <c r="A13">
        <v>2.19</v>
      </c>
      <c r="B13" t="s">
        <v>62</v>
      </c>
      <c r="C13" t="s">
        <v>198</v>
      </c>
      <c r="D13" s="12">
        <v>55.980036300000002</v>
      </c>
      <c r="E13" s="13">
        <v>59.983857</v>
      </c>
      <c r="F13" s="14">
        <v>50</v>
      </c>
      <c r="H13" s="12">
        <v>13.9863803</v>
      </c>
      <c r="I13" s="13">
        <v>13.9279113</v>
      </c>
      <c r="J13" s="14">
        <v>14.8768988999476</v>
      </c>
      <c r="K13" s="15"/>
      <c r="L13" s="12">
        <v>86.013619700000007</v>
      </c>
      <c r="M13" s="13">
        <v>86.072088699999995</v>
      </c>
      <c r="N13" s="14">
        <v>85.123101100052395</v>
      </c>
      <c r="O13" s="15"/>
      <c r="P13" s="16">
        <v>2.860433</v>
      </c>
      <c r="Q13" s="17">
        <v>2.4687480000000002</v>
      </c>
      <c r="R13" s="14">
        <v>4.7883610000000001</v>
      </c>
      <c r="S13" s="15"/>
      <c r="T13" s="12">
        <v>75.787673799999993</v>
      </c>
      <c r="U13" s="13">
        <v>75.713209399999997</v>
      </c>
      <c r="V13" s="14">
        <v>64.320814464789606</v>
      </c>
      <c r="X13" s="16">
        <f t="shared" si="0"/>
        <v>-5.8072147054654577E-2</v>
      </c>
      <c r="Y13" s="17">
        <f t="shared" si="1"/>
        <v>0.15072023206775009</v>
      </c>
      <c r="Z13" s="14">
        <f t="shared" si="2"/>
        <v>-1.152788347175894</v>
      </c>
      <c r="AB13" s="16">
        <f t="shared" si="3"/>
        <v>-1.6899366572165841E-2</v>
      </c>
      <c r="AC13" s="17">
        <f t="shared" si="4"/>
        <v>-2.2228958770979704E-2</v>
      </c>
      <c r="AD13" s="14">
        <f t="shared" si="5"/>
        <v>-0.51220943410492659</v>
      </c>
      <c r="AN13">
        <v>2.19</v>
      </c>
      <c r="AO13" t="s">
        <v>62</v>
      </c>
      <c r="AP13">
        <v>4</v>
      </c>
      <c r="AQ13">
        <v>4</v>
      </c>
      <c r="AR13">
        <v>6</v>
      </c>
      <c r="AS13">
        <v>4</v>
      </c>
      <c r="AT13">
        <v>11</v>
      </c>
      <c r="AU13">
        <v>8</v>
      </c>
      <c r="AY13">
        <v>2.19</v>
      </c>
      <c r="AZ13" t="s">
        <v>62</v>
      </c>
      <c r="BA13">
        <v>1</v>
      </c>
      <c r="BB13">
        <v>2</v>
      </c>
      <c r="BC13">
        <v>3</v>
      </c>
      <c r="BD13">
        <v>3</v>
      </c>
      <c r="BE13">
        <v>4</v>
      </c>
      <c r="BF13">
        <v>8</v>
      </c>
      <c r="BJ13">
        <v>2.19</v>
      </c>
      <c r="BK13" t="s">
        <v>62</v>
      </c>
      <c r="BL13">
        <v>11</v>
      </c>
      <c r="BM13">
        <v>8</v>
      </c>
      <c r="BN13">
        <v>7</v>
      </c>
      <c r="BO13">
        <v>20</v>
      </c>
      <c r="BP13">
        <v>21</v>
      </c>
      <c r="BQ13">
        <v>15</v>
      </c>
      <c r="BU13" s="34">
        <v>2.19</v>
      </c>
      <c r="BV13" s="34" t="s">
        <v>62</v>
      </c>
      <c r="BW13" s="33">
        <f t="shared" si="7"/>
        <v>5.333333333333333</v>
      </c>
      <c r="BX13" s="33">
        <f t="shared" si="6"/>
        <v>4.666666666666667</v>
      </c>
      <c r="BY13" s="33">
        <f t="shared" si="6"/>
        <v>5.333333333333333</v>
      </c>
      <c r="BZ13" s="33">
        <f t="shared" si="6"/>
        <v>9</v>
      </c>
      <c r="CA13" s="33">
        <f t="shared" si="6"/>
        <v>12</v>
      </c>
      <c r="CB13" s="33">
        <f t="shared" si="6"/>
        <v>10.333333333333334</v>
      </c>
    </row>
    <row r="14" spans="1:80" x14ac:dyDescent="0.2">
      <c r="A14">
        <v>2.2000000000000002</v>
      </c>
      <c r="B14" t="s">
        <v>45</v>
      </c>
      <c r="C14" t="s">
        <v>199</v>
      </c>
      <c r="D14" s="12">
        <v>50</v>
      </c>
      <c r="E14" s="13">
        <v>83.429360099999997</v>
      </c>
      <c r="F14" s="14">
        <v>50</v>
      </c>
      <c r="H14" s="12">
        <v>14.8768989</v>
      </c>
      <c r="I14" s="13">
        <v>14.584103499999999</v>
      </c>
      <c r="J14" s="14">
        <v>14.8768988999476</v>
      </c>
      <c r="K14" s="15"/>
      <c r="L14" s="12">
        <v>85.1231011</v>
      </c>
      <c r="M14" s="13">
        <v>85.415896500000002</v>
      </c>
      <c r="N14" s="14">
        <v>85.123101100052395</v>
      </c>
      <c r="O14" s="15"/>
      <c r="P14" s="16">
        <v>62.572848</v>
      </c>
      <c r="Q14" s="17">
        <v>106.409465</v>
      </c>
      <c r="R14" s="14">
        <v>69.078384</v>
      </c>
      <c r="S14" s="15"/>
      <c r="T14" s="12">
        <v>85.1231011</v>
      </c>
      <c r="U14" s="13">
        <v>14.4316396</v>
      </c>
      <c r="V14" s="14">
        <v>72.129319955406899</v>
      </c>
      <c r="X14" s="16">
        <f t="shared" si="0"/>
        <v>-0.73600043990250463</v>
      </c>
      <c r="Y14" s="17">
        <f t="shared" si="1"/>
        <v>2.7413602923693063</v>
      </c>
      <c r="Z14" s="14">
        <f t="shared" si="2"/>
        <v>-1.152788347175894</v>
      </c>
      <c r="AB14" s="16">
        <f t="shared" si="3"/>
        <v>0.65125911601382547</v>
      </c>
      <c r="AC14" s="17">
        <f t="shared" si="4"/>
        <v>-4.4082950029096857</v>
      </c>
      <c r="AD14" s="14">
        <f t="shared" si="5"/>
        <v>0.6818730099059811</v>
      </c>
      <c r="AN14">
        <v>2.2000000000000002</v>
      </c>
      <c r="AO14" t="s">
        <v>45</v>
      </c>
      <c r="AP14">
        <v>16</v>
      </c>
      <c r="AQ14">
        <v>14</v>
      </c>
      <c r="AR14">
        <v>22</v>
      </c>
      <c r="AS14">
        <v>2</v>
      </c>
      <c r="AT14">
        <v>21</v>
      </c>
      <c r="AU14">
        <v>1</v>
      </c>
      <c r="AY14">
        <v>2.2000000000000002</v>
      </c>
      <c r="AZ14" t="s">
        <v>45</v>
      </c>
      <c r="BA14">
        <v>10</v>
      </c>
      <c r="BB14">
        <v>5</v>
      </c>
      <c r="BC14">
        <v>24</v>
      </c>
      <c r="BD14">
        <v>24</v>
      </c>
      <c r="BE14">
        <v>1</v>
      </c>
      <c r="BF14">
        <v>24</v>
      </c>
      <c r="BJ14">
        <v>2.2000000000000002</v>
      </c>
      <c r="BK14" t="s">
        <v>45</v>
      </c>
      <c r="BL14">
        <v>11</v>
      </c>
      <c r="BM14">
        <v>9</v>
      </c>
      <c r="BN14">
        <v>23</v>
      </c>
      <c r="BO14">
        <v>7</v>
      </c>
      <c r="BP14">
        <v>21</v>
      </c>
      <c r="BQ14">
        <v>6</v>
      </c>
      <c r="BU14" s="34">
        <v>2.2000000000000002</v>
      </c>
      <c r="BV14" s="34" t="s">
        <v>45</v>
      </c>
      <c r="BW14" s="33">
        <f t="shared" si="7"/>
        <v>12.333333333333334</v>
      </c>
      <c r="BX14" s="33">
        <f t="shared" si="6"/>
        <v>9.3333333333333339</v>
      </c>
      <c r="BY14" s="33">
        <f t="shared" si="6"/>
        <v>23</v>
      </c>
      <c r="BZ14" s="33">
        <f t="shared" si="6"/>
        <v>11</v>
      </c>
      <c r="CA14" s="33">
        <f t="shared" si="6"/>
        <v>14.333333333333334</v>
      </c>
      <c r="CB14" s="33">
        <f t="shared" si="6"/>
        <v>10.333333333333334</v>
      </c>
    </row>
    <row r="15" spans="1:80" x14ac:dyDescent="0.2">
      <c r="A15">
        <v>2.2000000000000002</v>
      </c>
      <c r="B15" t="s">
        <v>62</v>
      </c>
      <c r="C15" t="s">
        <v>200</v>
      </c>
      <c r="D15" s="12">
        <v>50</v>
      </c>
      <c r="E15" s="13">
        <v>50</v>
      </c>
      <c r="F15" s="14">
        <v>62.033256924393399</v>
      </c>
      <c r="H15" s="12">
        <v>14.8768989</v>
      </c>
      <c r="I15" s="13">
        <v>14.8983364</v>
      </c>
      <c r="J15" s="14">
        <v>13.1220534311158</v>
      </c>
      <c r="K15" s="15"/>
      <c r="L15" s="12">
        <v>85.1231011</v>
      </c>
      <c r="M15" s="13">
        <v>85.101663599999995</v>
      </c>
      <c r="N15" s="14">
        <v>86.877946568884198</v>
      </c>
      <c r="O15" s="15"/>
      <c r="P15" s="16">
        <v>1.0630630000000001</v>
      </c>
      <c r="Q15" s="17">
        <v>1.1099410000000001</v>
      </c>
      <c r="R15" s="14">
        <v>3.4298640000000002</v>
      </c>
      <c r="S15" s="15"/>
      <c r="T15" s="12">
        <v>85.1231011</v>
      </c>
      <c r="U15" s="13">
        <v>14.8768989</v>
      </c>
      <c r="V15" s="14">
        <v>60.742882735522102</v>
      </c>
      <c r="X15" s="16">
        <f t="shared" si="0"/>
        <v>-0.73600043990250463</v>
      </c>
      <c r="Y15" s="17">
        <f t="shared" si="1"/>
        <v>-0.95245847944056139</v>
      </c>
      <c r="Z15" s="14">
        <f t="shared" si="2"/>
        <v>0.39974649636060805</v>
      </c>
      <c r="AB15" s="16">
        <f t="shared" si="3"/>
        <v>0.65125911601382547</v>
      </c>
      <c r="AC15" s="17">
        <f t="shared" si="4"/>
        <v>-4.3764267478545262</v>
      </c>
      <c r="AD15" s="14">
        <f t="shared" si="5"/>
        <v>-1.0593494046052443</v>
      </c>
      <c r="AN15">
        <v>2.2000000000000002</v>
      </c>
      <c r="AO15" t="s">
        <v>62</v>
      </c>
      <c r="AP15">
        <v>16</v>
      </c>
      <c r="AQ15">
        <v>15</v>
      </c>
      <c r="AR15">
        <v>2</v>
      </c>
      <c r="AS15">
        <v>2</v>
      </c>
      <c r="AT15">
        <v>21</v>
      </c>
      <c r="AU15">
        <v>1</v>
      </c>
      <c r="AY15">
        <v>2.2000000000000002</v>
      </c>
      <c r="AZ15" t="s">
        <v>62</v>
      </c>
      <c r="BA15">
        <v>11</v>
      </c>
      <c r="BB15">
        <v>22</v>
      </c>
      <c r="BC15">
        <v>3</v>
      </c>
      <c r="BD15">
        <v>22</v>
      </c>
      <c r="BE15">
        <v>23</v>
      </c>
      <c r="BF15">
        <v>22</v>
      </c>
      <c r="BJ15">
        <v>2.2000000000000002</v>
      </c>
      <c r="BK15" t="s">
        <v>62</v>
      </c>
      <c r="BL15">
        <v>1</v>
      </c>
      <c r="BM15">
        <v>1</v>
      </c>
      <c r="BN15">
        <v>4</v>
      </c>
      <c r="BO15">
        <v>22</v>
      </c>
      <c r="BP15">
        <v>4</v>
      </c>
      <c r="BQ15">
        <v>19</v>
      </c>
      <c r="BU15" s="34">
        <v>2.2000000000000002</v>
      </c>
      <c r="BV15" s="34" t="s">
        <v>62</v>
      </c>
      <c r="BW15" s="33">
        <f t="shared" si="7"/>
        <v>9.3333333333333339</v>
      </c>
      <c r="BX15" s="33">
        <f t="shared" si="6"/>
        <v>12.666666666666666</v>
      </c>
      <c r="BY15" s="33">
        <f t="shared" si="6"/>
        <v>3</v>
      </c>
      <c r="BZ15" s="33">
        <f t="shared" si="6"/>
        <v>15.333333333333334</v>
      </c>
      <c r="CA15" s="33">
        <f t="shared" si="6"/>
        <v>16</v>
      </c>
      <c r="CB15" s="33">
        <f t="shared" si="6"/>
        <v>14</v>
      </c>
    </row>
    <row r="16" spans="1:80" x14ac:dyDescent="0.2">
      <c r="A16">
        <v>2.21</v>
      </c>
      <c r="B16" t="s">
        <v>62</v>
      </c>
      <c r="C16" t="s">
        <v>201</v>
      </c>
      <c r="D16" s="12">
        <v>50</v>
      </c>
      <c r="E16" s="13">
        <v>50</v>
      </c>
      <c r="F16" s="14">
        <v>53.421072589382447</v>
      </c>
      <c r="H16" s="12">
        <v>14.8768989</v>
      </c>
      <c r="I16" s="13">
        <v>14.8983364</v>
      </c>
      <c r="J16" s="14">
        <v>14.86769473299265</v>
      </c>
      <c r="K16" s="15"/>
      <c r="L16" s="12">
        <v>85.1231011</v>
      </c>
      <c r="M16" s="13">
        <v>85.101663599999995</v>
      </c>
      <c r="N16" s="14">
        <v>85.132305267007354</v>
      </c>
      <c r="O16" s="15"/>
      <c r="P16" s="16">
        <v>0.73260700000000001</v>
      </c>
      <c r="Q16" s="17">
        <v>0.81626200000000004</v>
      </c>
      <c r="R16" s="14">
        <v>4.4237199999999994</v>
      </c>
      <c r="S16" s="15"/>
      <c r="T16" s="12">
        <v>85.1231011</v>
      </c>
      <c r="U16" s="13">
        <v>14.8768989</v>
      </c>
      <c r="V16" s="14">
        <v>67.318492652407997</v>
      </c>
      <c r="X16" s="16">
        <f t="shared" si="0"/>
        <v>-0.73600043990250463</v>
      </c>
      <c r="Y16" s="17">
        <f t="shared" si="1"/>
        <v>-0.95245847944056139</v>
      </c>
      <c r="Z16" s="14">
        <f t="shared" si="2"/>
        <v>-0.71140041449434854</v>
      </c>
      <c r="AB16" s="16">
        <f t="shared" si="3"/>
        <v>0.65125911601382547</v>
      </c>
      <c r="AC16" s="17">
        <f t="shared" si="4"/>
        <v>-4.3764267478545262</v>
      </c>
      <c r="AD16" s="14">
        <f t="shared" si="5"/>
        <v>-5.380226503388523E-2</v>
      </c>
      <c r="AN16">
        <v>2.21</v>
      </c>
      <c r="AO16" t="s">
        <v>62</v>
      </c>
      <c r="AP16">
        <v>16</v>
      </c>
      <c r="AQ16">
        <v>16</v>
      </c>
      <c r="AR16">
        <v>1</v>
      </c>
      <c r="AS16">
        <v>2</v>
      </c>
      <c r="AT16">
        <v>21</v>
      </c>
      <c r="AU16">
        <v>1</v>
      </c>
      <c r="AY16">
        <v>2.21</v>
      </c>
      <c r="AZ16" t="s">
        <v>62</v>
      </c>
      <c r="BA16">
        <v>11</v>
      </c>
      <c r="BB16">
        <v>22</v>
      </c>
      <c r="BC16">
        <v>1</v>
      </c>
      <c r="BD16">
        <v>22</v>
      </c>
      <c r="BE16">
        <v>23</v>
      </c>
      <c r="BF16">
        <v>22</v>
      </c>
      <c r="BJ16">
        <v>2.21</v>
      </c>
      <c r="BK16" t="s">
        <v>62</v>
      </c>
      <c r="BL16">
        <v>10</v>
      </c>
      <c r="BM16">
        <v>12</v>
      </c>
      <c r="BN16">
        <v>6</v>
      </c>
      <c r="BO16">
        <v>15</v>
      </c>
      <c r="BP16">
        <v>18</v>
      </c>
      <c r="BQ16">
        <v>12</v>
      </c>
      <c r="BU16" s="34">
        <v>2.21</v>
      </c>
      <c r="BV16" s="34" t="s">
        <v>62</v>
      </c>
      <c r="BW16" s="33">
        <f t="shared" si="7"/>
        <v>12.333333333333334</v>
      </c>
      <c r="BX16" s="33">
        <f t="shared" si="6"/>
        <v>16.666666666666668</v>
      </c>
      <c r="BY16" s="33">
        <f t="shared" si="6"/>
        <v>2.6666666666666665</v>
      </c>
      <c r="BZ16" s="33">
        <f t="shared" si="6"/>
        <v>13</v>
      </c>
      <c r="CA16" s="33">
        <f t="shared" si="6"/>
        <v>20.666666666666668</v>
      </c>
      <c r="CB16" s="33">
        <f t="shared" si="6"/>
        <v>11.666666666666666</v>
      </c>
    </row>
    <row r="17" spans="1:81" x14ac:dyDescent="0.2">
      <c r="A17">
        <v>2.2200000000000002</v>
      </c>
      <c r="B17" t="s">
        <v>62</v>
      </c>
      <c r="C17" t="s">
        <v>202</v>
      </c>
      <c r="D17" s="12">
        <v>60.404225400000001</v>
      </c>
      <c r="E17" s="13">
        <v>62.368147299999997</v>
      </c>
      <c r="F17" s="14">
        <v>59.9188515709643</v>
      </c>
      <c r="H17" s="12">
        <v>16.081718200000001</v>
      </c>
      <c r="I17" s="13">
        <v>16.377079500000001</v>
      </c>
      <c r="J17" s="14">
        <v>14.3867924528302</v>
      </c>
      <c r="K17" s="15"/>
      <c r="L17" s="12">
        <v>83.918281800000003</v>
      </c>
      <c r="M17" s="13">
        <v>83.622920500000006</v>
      </c>
      <c r="N17" s="14">
        <v>85.613207547169793</v>
      </c>
      <c r="O17" s="15"/>
      <c r="P17" s="16">
        <v>1.078792</v>
      </c>
      <c r="Q17" s="17">
        <v>1.9412450000000001</v>
      </c>
      <c r="R17" s="14">
        <v>1.9023474999999999</v>
      </c>
      <c r="S17" s="15"/>
      <c r="T17" s="12">
        <v>66.594951199999997</v>
      </c>
      <c r="U17" s="13">
        <v>66.481672900000007</v>
      </c>
      <c r="V17" s="14">
        <v>67.123645384515001</v>
      </c>
      <c r="X17" s="16">
        <f t="shared" si="0"/>
        <v>0.44347714350718787</v>
      </c>
      <c r="Y17" s="17">
        <f t="shared" si="1"/>
        <v>0.41417535777876152</v>
      </c>
      <c r="Z17" s="14">
        <f t="shared" si="2"/>
        <v>0.12694520863074682</v>
      </c>
      <c r="AB17" s="16">
        <f t="shared" si="3"/>
        <v>-0.6748441382324778</v>
      </c>
      <c r="AC17" s="17">
        <f t="shared" si="4"/>
        <v>-0.68295173251880614</v>
      </c>
      <c r="AD17" s="14">
        <f t="shared" si="5"/>
        <v>-8.3598453579066589E-2</v>
      </c>
      <c r="AN17">
        <v>2.2200000000000002</v>
      </c>
      <c r="AO17" t="s">
        <v>62</v>
      </c>
      <c r="AP17">
        <v>22</v>
      </c>
      <c r="AQ17">
        <v>21</v>
      </c>
      <c r="AR17">
        <v>3</v>
      </c>
      <c r="AS17">
        <v>18</v>
      </c>
      <c r="AT17">
        <v>2</v>
      </c>
      <c r="AU17">
        <v>17</v>
      </c>
      <c r="AY17">
        <v>2.2200000000000002</v>
      </c>
      <c r="AZ17" t="s">
        <v>62</v>
      </c>
      <c r="BA17">
        <v>19</v>
      </c>
      <c r="BB17">
        <v>18</v>
      </c>
      <c r="BC17">
        <v>2</v>
      </c>
      <c r="BD17">
        <v>16</v>
      </c>
      <c r="BE17">
        <v>3</v>
      </c>
      <c r="BF17">
        <v>18</v>
      </c>
      <c r="BJ17">
        <v>2.2200000000000002</v>
      </c>
      <c r="BK17" t="s">
        <v>62</v>
      </c>
      <c r="BL17">
        <v>6</v>
      </c>
      <c r="BM17">
        <v>7</v>
      </c>
      <c r="BN17">
        <v>2</v>
      </c>
      <c r="BO17">
        <v>17</v>
      </c>
      <c r="BP17">
        <v>9</v>
      </c>
      <c r="BQ17">
        <v>11</v>
      </c>
      <c r="BU17" s="34">
        <v>2.2200000000000002</v>
      </c>
      <c r="BV17" s="34" t="s">
        <v>62</v>
      </c>
      <c r="BW17" s="33">
        <f t="shared" si="7"/>
        <v>15.666666666666666</v>
      </c>
      <c r="BX17" s="33">
        <f t="shared" si="6"/>
        <v>15.333333333333334</v>
      </c>
      <c r="BY17" s="33">
        <f t="shared" si="6"/>
        <v>2.3333333333333335</v>
      </c>
      <c r="BZ17" s="33">
        <f t="shared" si="6"/>
        <v>17</v>
      </c>
      <c r="CA17" s="33">
        <f t="shared" si="6"/>
        <v>4.666666666666667</v>
      </c>
      <c r="CB17" s="33">
        <f t="shared" si="6"/>
        <v>15.333333333333334</v>
      </c>
    </row>
    <row r="18" spans="1:81" x14ac:dyDescent="0.2">
      <c r="A18">
        <v>2.23</v>
      </c>
      <c r="B18" t="s">
        <v>69</v>
      </c>
      <c r="C18" t="s">
        <v>203</v>
      </c>
      <c r="D18" s="12">
        <v>58.7223185</v>
      </c>
      <c r="E18" s="13">
        <v>59.999133299999997</v>
      </c>
      <c r="F18" s="14">
        <v>60.763018657755502</v>
      </c>
      <c r="H18" s="12">
        <v>16.081718200000001</v>
      </c>
      <c r="I18" s="13">
        <v>15.942698699999999</v>
      </c>
      <c r="J18" s="14">
        <v>13.514929282346801</v>
      </c>
      <c r="K18" s="15"/>
      <c r="L18" s="12">
        <v>83.918281800000003</v>
      </c>
      <c r="M18" s="13">
        <v>84.057301300000006</v>
      </c>
      <c r="N18" s="14">
        <v>86.485070717653201</v>
      </c>
      <c r="O18" s="15"/>
      <c r="P18" s="16">
        <v>48.834110000000003</v>
      </c>
      <c r="Q18" s="17">
        <v>78.467673000000005</v>
      </c>
      <c r="R18" s="14">
        <v>105.8134965</v>
      </c>
      <c r="S18" s="15"/>
      <c r="T18" s="12">
        <v>66.253533099999999</v>
      </c>
      <c r="U18" s="13">
        <v>66.584366599999996</v>
      </c>
      <c r="V18" s="14">
        <v>84.384956428242347</v>
      </c>
      <c r="X18" s="16">
        <f t="shared" si="0"/>
        <v>0.25280735218066691</v>
      </c>
      <c r="Y18" s="17">
        <f t="shared" si="1"/>
        <v>0.15240820585890219</v>
      </c>
      <c r="Z18" s="14">
        <f t="shared" si="2"/>
        <v>0.23585992924584845</v>
      </c>
      <c r="AB18" s="16">
        <f t="shared" si="3"/>
        <v>-0.69928023443809983</v>
      </c>
      <c r="AC18" s="17">
        <f t="shared" si="4"/>
        <v>-0.67560170294242738</v>
      </c>
      <c r="AD18" s="14">
        <f t="shared" si="5"/>
        <v>2.5560140180639555</v>
      </c>
      <c r="AN18">
        <v>2.23</v>
      </c>
      <c r="AO18" t="s">
        <v>69</v>
      </c>
      <c r="AP18">
        <v>22</v>
      </c>
      <c r="AQ18">
        <v>22</v>
      </c>
      <c r="AR18">
        <v>20</v>
      </c>
      <c r="AS18">
        <v>19</v>
      </c>
      <c r="AT18">
        <v>4</v>
      </c>
      <c r="AU18">
        <v>18</v>
      </c>
      <c r="AY18">
        <v>2.23</v>
      </c>
      <c r="AZ18" t="s">
        <v>69</v>
      </c>
      <c r="BA18">
        <v>17</v>
      </c>
      <c r="BB18">
        <v>14</v>
      </c>
      <c r="BC18">
        <v>22</v>
      </c>
      <c r="BD18">
        <v>15</v>
      </c>
      <c r="BE18">
        <v>4</v>
      </c>
      <c r="BF18">
        <v>18</v>
      </c>
      <c r="BJ18">
        <v>2.23</v>
      </c>
      <c r="BK18" t="s">
        <v>69</v>
      </c>
      <c r="BL18">
        <v>1</v>
      </c>
      <c r="BM18">
        <v>2</v>
      </c>
      <c r="BN18">
        <v>24</v>
      </c>
      <c r="BO18">
        <v>1</v>
      </c>
      <c r="BP18">
        <v>5</v>
      </c>
      <c r="BQ18">
        <v>1</v>
      </c>
      <c r="BU18" s="34">
        <v>2.23</v>
      </c>
      <c r="BV18" s="34" t="s">
        <v>69</v>
      </c>
      <c r="BW18" s="33">
        <f t="shared" si="7"/>
        <v>13.333333333333334</v>
      </c>
      <c r="BX18" s="33">
        <f t="shared" si="6"/>
        <v>12.666666666666666</v>
      </c>
      <c r="BY18" s="33">
        <f t="shared" si="6"/>
        <v>22</v>
      </c>
      <c r="BZ18" s="33">
        <f t="shared" si="6"/>
        <v>11.666666666666666</v>
      </c>
      <c r="CA18" s="33">
        <f t="shared" si="6"/>
        <v>4.333333333333333</v>
      </c>
      <c r="CB18" s="33">
        <f t="shared" si="6"/>
        <v>12.333333333333334</v>
      </c>
    </row>
    <row r="19" spans="1:81" x14ac:dyDescent="0.2">
      <c r="A19">
        <v>2.2400000000000002</v>
      </c>
      <c r="B19" t="s">
        <v>69</v>
      </c>
      <c r="C19" t="s">
        <v>204</v>
      </c>
      <c r="D19" s="12">
        <v>50</v>
      </c>
      <c r="E19" s="13">
        <v>50</v>
      </c>
      <c r="F19" s="14">
        <v>50</v>
      </c>
      <c r="H19" s="12">
        <v>14.8768989</v>
      </c>
      <c r="I19" s="13">
        <v>14.8983364</v>
      </c>
      <c r="J19" s="14">
        <v>14.8768988999476</v>
      </c>
      <c r="K19" s="15"/>
      <c r="L19" s="12">
        <v>85.1231011</v>
      </c>
      <c r="M19" s="13">
        <v>85.101663599999995</v>
      </c>
      <c r="N19" s="14">
        <v>85.123101100052395</v>
      </c>
      <c r="O19" s="15"/>
      <c r="P19" s="16">
        <v>9.5558730000000001</v>
      </c>
      <c r="Q19" s="17">
        <v>10.612705</v>
      </c>
      <c r="R19" s="14">
        <v>10.637798499999999</v>
      </c>
      <c r="S19" s="15"/>
      <c r="T19" s="12">
        <v>85.1231011</v>
      </c>
      <c r="U19" s="13">
        <v>14.8768989</v>
      </c>
      <c r="V19" s="14">
        <v>69.013499480789207</v>
      </c>
      <c r="X19" s="16">
        <f t="shared" si="0"/>
        <v>-0.73600043990250463</v>
      </c>
      <c r="Y19" s="17">
        <f t="shared" si="1"/>
        <v>-0.95245847944056139</v>
      </c>
      <c r="Z19" s="14">
        <f t="shared" si="2"/>
        <v>-1.152788347175894</v>
      </c>
      <c r="AB19" s="16">
        <f t="shared" si="3"/>
        <v>0.65125911601382547</v>
      </c>
      <c r="AC19" s="17">
        <f t="shared" si="4"/>
        <v>-4.3764267478545262</v>
      </c>
      <c r="AD19" s="14">
        <f t="shared" si="5"/>
        <v>0.20539943478954784</v>
      </c>
      <c r="AN19">
        <v>2.2400000000000002</v>
      </c>
      <c r="AO19" t="s">
        <v>69</v>
      </c>
      <c r="AP19">
        <v>16</v>
      </c>
      <c r="AQ19">
        <v>17</v>
      </c>
      <c r="AR19">
        <v>9</v>
      </c>
      <c r="AS19">
        <v>2</v>
      </c>
      <c r="AT19">
        <v>21</v>
      </c>
      <c r="AU19">
        <v>1</v>
      </c>
      <c r="AY19">
        <v>2.2400000000000002</v>
      </c>
      <c r="AZ19" t="s">
        <v>69</v>
      </c>
      <c r="BA19">
        <v>11</v>
      </c>
      <c r="BB19">
        <v>22</v>
      </c>
      <c r="BC19">
        <v>9</v>
      </c>
      <c r="BD19">
        <v>22</v>
      </c>
      <c r="BE19">
        <v>23</v>
      </c>
      <c r="BF19">
        <v>22</v>
      </c>
      <c r="BJ19">
        <v>2.2400000000000002</v>
      </c>
      <c r="BK19" t="s">
        <v>69</v>
      </c>
      <c r="BL19">
        <v>11</v>
      </c>
      <c r="BM19">
        <v>9</v>
      </c>
      <c r="BN19">
        <v>9</v>
      </c>
      <c r="BO19">
        <v>11</v>
      </c>
      <c r="BP19">
        <v>21</v>
      </c>
      <c r="BQ19">
        <v>7</v>
      </c>
      <c r="BU19" s="34">
        <v>2.2400000000000002</v>
      </c>
      <c r="BV19" s="34" t="s">
        <v>69</v>
      </c>
      <c r="BW19" s="33">
        <f t="shared" si="7"/>
        <v>12.666666666666666</v>
      </c>
      <c r="BX19" s="33">
        <f t="shared" si="7"/>
        <v>16</v>
      </c>
      <c r="BY19" s="33">
        <f t="shared" si="7"/>
        <v>9</v>
      </c>
      <c r="BZ19" s="33">
        <f t="shared" si="7"/>
        <v>11.666666666666666</v>
      </c>
      <c r="CA19" s="33">
        <f t="shared" si="7"/>
        <v>21.666666666666668</v>
      </c>
      <c r="CB19" s="33">
        <f t="shared" si="7"/>
        <v>10</v>
      </c>
    </row>
    <row r="20" spans="1:81" x14ac:dyDescent="0.2">
      <c r="A20">
        <v>2.2999999999999998</v>
      </c>
      <c r="B20" t="s">
        <v>45</v>
      </c>
      <c r="C20" t="s">
        <v>205</v>
      </c>
      <c r="D20" s="12">
        <v>52.499135799999998</v>
      </c>
      <c r="E20" s="13">
        <v>81.320557100000002</v>
      </c>
      <c r="F20" s="14">
        <v>56.789165763813699</v>
      </c>
      <c r="H20" s="12">
        <v>14.353064399999999</v>
      </c>
      <c r="I20" s="13">
        <v>15.942698699999999</v>
      </c>
      <c r="J20" s="14">
        <v>15.03404924044</v>
      </c>
      <c r="K20" s="15"/>
      <c r="L20" s="12">
        <v>85.646935600000006</v>
      </c>
      <c r="M20" s="13">
        <v>84.057301300000006</v>
      </c>
      <c r="N20" s="14">
        <v>84.965950759560002</v>
      </c>
      <c r="O20" s="15"/>
      <c r="P20" s="16">
        <v>548.01214900000002</v>
      </c>
      <c r="Q20" s="17">
        <v>133.97675699999999</v>
      </c>
      <c r="R20" s="14">
        <v>81.886630999999994</v>
      </c>
      <c r="S20" s="15"/>
      <c r="T20" s="12">
        <v>81.749808999999999</v>
      </c>
      <c r="U20" s="13">
        <v>15.5840754</v>
      </c>
      <c r="V20" s="14">
        <v>66.376663520283799</v>
      </c>
      <c r="X20" s="16">
        <f t="shared" si="0"/>
        <v>-0.45268529238593458</v>
      </c>
      <c r="Y20" s="17">
        <f t="shared" si="1"/>
        <v>2.5083454789194688</v>
      </c>
      <c r="Z20" s="14">
        <f t="shared" si="2"/>
        <v>-0.27684790369556628</v>
      </c>
      <c r="AB20" s="16">
        <f t="shared" si="3"/>
        <v>0.40982466867414014</v>
      </c>
      <c r="AC20" s="17">
        <f t="shared" si="4"/>
        <v>-4.3258124629400614</v>
      </c>
      <c r="AD20" s="14">
        <f t="shared" si="5"/>
        <v>-0.19782747360662439</v>
      </c>
      <c r="AN20">
        <v>2.2999999999999998</v>
      </c>
      <c r="AO20" t="s">
        <v>45</v>
      </c>
      <c r="AP20">
        <v>8</v>
      </c>
      <c r="AQ20">
        <v>6</v>
      </c>
      <c r="AR20">
        <v>24</v>
      </c>
      <c r="AS20">
        <v>6</v>
      </c>
      <c r="AT20">
        <v>15</v>
      </c>
      <c r="AU20">
        <v>7</v>
      </c>
      <c r="AY20">
        <v>2.2999999999999998</v>
      </c>
      <c r="AZ20" t="s">
        <v>45</v>
      </c>
      <c r="BA20">
        <v>17</v>
      </c>
      <c r="BB20">
        <v>14</v>
      </c>
      <c r="BC20">
        <v>24</v>
      </c>
      <c r="BD20">
        <v>21</v>
      </c>
      <c r="BE20">
        <v>2</v>
      </c>
      <c r="BF20">
        <v>21</v>
      </c>
      <c r="BJ20">
        <v>2.2999999999999998</v>
      </c>
      <c r="BK20" t="s">
        <v>45</v>
      </c>
      <c r="BL20">
        <v>16</v>
      </c>
      <c r="BM20">
        <v>13</v>
      </c>
      <c r="BN20">
        <v>23</v>
      </c>
      <c r="BO20">
        <v>18</v>
      </c>
      <c r="BP20">
        <v>15</v>
      </c>
      <c r="BQ20">
        <v>13</v>
      </c>
      <c r="BU20" s="34">
        <v>2.2999999999999998</v>
      </c>
      <c r="BV20" s="34" t="s">
        <v>45</v>
      </c>
      <c r="BW20" s="33">
        <f t="shared" si="7"/>
        <v>13.666666666666666</v>
      </c>
      <c r="BX20" s="33">
        <f t="shared" si="7"/>
        <v>11</v>
      </c>
      <c r="BY20" s="33">
        <f t="shared" si="7"/>
        <v>23.666666666666668</v>
      </c>
      <c r="BZ20" s="33">
        <f t="shared" si="7"/>
        <v>15</v>
      </c>
      <c r="CA20" s="33">
        <f t="shared" si="7"/>
        <v>10.666666666666666</v>
      </c>
      <c r="CB20" s="33">
        <f t="shared" si="7"/>
        <v>13.666666666666666</v>
      </c>
    </row>
    <row r="21" spans="1:81" x14ac:dyDescent="0.2">
      <c r="A21">
        <v>2.4</v>
      </c>
      <c r="B21" t="s">
        <v>73</v>
      </c>
      <c r="C21" t="s">
        <v>206</v>
      </c>
      <c r="D21" s="12">
        <v>50</v>
      </c>
      <c r="E21" s="13">
        <v>50</v>
      </c>
      <c r="F21" s="14">
        <v>56.049079089924199</v>
      </c>
      <c r="H21" s="12">
        <v>14.8768989</v>
      </c>
      <c r="I21" s="13">
        <v>14.8983364</v>
      </c>
      <c r="J21" s="14">
        <v>14.772132006286</v>
      </c>
      <c r="K21" s="15"/>
      <c r="L21" s="12">
        <v>85.1231011</v>
      </c>
      <c r="M21" s="13">
        <v>85.101663599999995</v>
      </c>
      <c r="N21" s="14">
        <v>85.227867993714</v>
      </c>
      <c r="O21" s="15"/>
      <c r="P21" s="16">
        <v>42.573500000000003</v>
      </c>
      <c r="Q21" s="17">
        <v>52.189258000000002</v>
      </c>
      <c r="R21" s="14">
        <v>58.249769999999998</v>
      </c>
      <c r="S21" s="15"/>
      <c r="T21" s="12">
        <v>85.1231011</v>
      </c>
      <c r="U21" s="13">
        <v>14.5887899</v>
      </c>
      <c r="V21" s="14">
        <v>74.297821577687003</v>
      </c>
      <c r="X21" s="16">
        <f t="shared" si="0"/>
        <v>-0.73600043990250463</v>
      </c>
      <c r="Y21" s="17">
        <f t="shared" si="1"/>
        <v>-0.95245847944056139</v>
      </c>
      <c r="Z21" s="14">
        <f t="shared" si="2"/>
        <v>-0.37233413453646624</v>
      </c>
      <c r="AB21" s="16">
        <f t="shared" si="3"/>
        <v>0.65125911601382547</v>
      </c>
      <c r="AC21" s="17">
        <f t="shared" si="4"/>
        <v>-4.3970473864255499</v>
      </c>
      <c r="AD21" s="14">
        <f t="shared" si="5"/>
        <v>1.0134818843679678</v>
      </c>
      <c r="AN21">
        <v>2.4</v>
      </c>
      <c r="AO21" t="s">
        <v>207</v>
      </c>
      <c r="AP21">
        <v>16</v>
      </c>
      <c r="AQ21">
        <v>18</v>
      </c>
      <c r="AR21">
        <v>17</v>
      </c>
      <c r="AS21">
        <v>2</v>
      </c>
      <c r="AT21">
        <v>21</v>
      </c>
      <c r="AU21">
        <v>1</v>
      </c>
      <c r="AY21">
        <v>2.4</v>
      </c>
      <c r="AZ21" t="s">
        <v>207</v>
      </c>
      <c r="BA21">
        <v>11</v>
      </c>
      <c r="BB21">
        <v>22</v>
      </c>
      <c r="BC21">
        <v>17</v>
      </c>
      <c r="BD21">
        <v>22</v>
      </c>
      <c r="BE21">
        <v>23</v>
      </c>
      <c r="BF21">
        <v>23</v>
      </c>
      <c r="BJ21">
        <v>2.4</v>
      </c>
      <c r="BK21" t="s">
        <v>207</v>
      </c>
      <c r="BL21">
        <v>9</v>
      </c>
      <c r="BM21">
        <v>12</v>
      </c>
      <c r="BN21">
        <v>20</v>
      </c>
      <c r="BO21">
        <v>8</v>
      </c>
      <c r="BP21">
        <v>16</v>
      </c>
      <c r="BQ21">
        <v>4</v>
      </c>
      <c r="BU21" s="34">
        <v>2.4</v>
      </c>
      <c r="BV21" s="34" t="s">
        <v>207</v>
      </c>
      <c r="BW21" s="33">
        <f t="shared" si="7"/>
        <v>12</v>
      </c>
      <c r="BX21" s="33">
        <f t="shared" si="7"/>
        <v>17.333333333333332</v>
      </c>
      <c r="BY21" s="33">
        <f t="shared" si="7"/>
        <v>18</v>
      </c>
      <c r="BZ21" s="33">
        <f t="shared" si="7"/>
        <v>10.666666666666666</v>
      </c>
      <c r="CA21" s="33">
        <f t="shared" si="7"/>
        <v>20</v>
      </c>
      <c r="CB21" s="33">
        <f t="shared" si="7"/>
        <v>9.3333333333333339</v>
      </c>
    </row>
    <row r="22" spans="1:81" x14ac:dyDescent="0.2">
      <c r="A22">
        <v>2.5</v>
      </c>
      <c r="B22" t="s">
        <v>74</v>
      </c>
      <c r="C22" t="s">
        <v>208</v>
      </c>
      <c r="D22" s="12">
        <v>51.346912199999998</v>
      </c>
      <c r="E22" s="13">
        <v>52.570747599999997</v>
      </c>
      <c r="F22" s="14">
        <v>51.415716014173398</v>
      </c>
      <c r="H22" s="12">
        <v>14.5625982</v>
      </c>
      <c r="I22" s="13">
        <v>14.4916821</v>
      </c>
      <c r="J22" s="14">
        <v>14.7197485594552</v>
      </c>
      <c r="K22" s="15"/>
      <c r="L22" s="12">
        <v>85.437401800000004</v>
      </c>
      <c r="M22" s="13">
        <v>85.508317899999994</v>
      </c>
      <c r="N22" s="14">
        <v>85.280251440544802</v>
      </c>
      <c r="O22" s="15"/>
      <c r="P22" s="16">
        <v>33.770479999999999</v>
      </c>
      <c r="Q22" s="17">
        <v>31.924454000000001</v>
      </c>
      <c r="R22" s="14">
        <v>31.527626999999999</v>
      </c>
      <c r="S22" s="15"/>
      <c r="T22" s="12">
        <v>82.733017399999994</v>
      </c>
      <c r="U22" s="13">
        <v>76.224580000000003</v>
      </c>
      <c r="V22" s="14"/>
      <c r="X22" s="16">
        <f t="shared" si="0"/>
        <v>-0.58330740552043236</v>
      </c>
      <c r="Y22" s="17">
        <f t="shared" si="1"/>
        <v>-0.66840052218205082</v>
      </c>
      <c r="Z22" s="14">
        <f t="shared" si="2"/>
        <v>-0.97013219229057668</v>
      </c>
      <c r="AB22" s="16">
        <f t="shared" si="3"/>
        <v>0.48019520571530983</v>
      </c>
      <c r="AC22" s="17">
        <f t="shared" si="4"/>
        <v>1.4371037475050944E-2</v>
      </c>
      <c r="AD22" s="14">
        <f t="shared" si="5"/>
        <v>-10.348196029641844</v>
      </c>
      <c r="AN22">
        <v>2.5</v>
      </c>
      <c r="AO22" t="s">
        <v>74</v>
      </c>
      <c r="AP22">
        <v>10</v>
      </c>
      <c r="AQ22">
        <v>9</v>
      </c>
      <c r="AR22">
        <v>13</v>
      </c>
      <c r="AS22">
        <v>5</v>
      </c>
      <c r="AT22">
        <v>17</v>
      </c>
      <c r="AU22">
        <v>5</v>
      </c>
      <c r="AY22">
        <v>2.5</v>
      </c>
      <c r="AZ22" t="s">
        <v>74</v>
      </c>
      <c r="BA22">
        <v>6</v>
      </c>
      <c r="BB22">
        <v>3</v>
      </c>
      <c r="BC22">
        <v>12</v>
      </c>
      <c r="BD22">
        <v>2</v>
      </c>
      <c r="BE22">
        <v>17</v>
      </c>
      <c r="BF22">
        <v>6</v>
      </c>
      <c r="BJ22">
        <v>2.5</v>
      </c>
      <c r="BK22" t="s">
        <v>74</v>
      </c>
      <c r="BL22">
        <v>8</v>
      </c>
      <c r="BM22">
        <v>12</v>
      </c>
      <c r="BN22">
        <v>11</v>
      </c>
      <c r="BO22" t="s">
        <v>191</v>
      </c>
      <c r="BP22">
        <v>19</v>
      </c>
      <c r="BQ22">
        <v>24</v>
      </c>
      <c r="BU22" s="34">
        <v>2.5</v>
      </c>
      <c r="BV22" s="34" t="s">
        <v>74</v>
      </c>
      <c r="BW22" s="33">
        <f t="shared" si="7"/>
        <v>8</v>
      </c>
      <c r="BX22" s="33">
        <f t="shared" si="7"/>
        <v>8</v>
      </c>
      <c r="BY22" s="33">
        <f t="shared" si="7"/>
        <v>12</v>
      </c>
      <c r="BZ22" s="33">
        <f t="shared" si="7"/>
        <v>3.5</v>
      </c>
      <c r="CA22" s="33">
        <f t="shared" si="7"/>
        <v>17.666666666666668</v>
      </c>
      <c r="CB22" s="33">
        <f t="shared" si="7"/>
        <v>11.666666666666666</v>
      </c>
    </row>
    <row r="23" spans="1:81" x14ac:dyDescent="0.2">
      <c r="A23">
        <v>2.6</v>
      </c>
      <c r="B23" t="s">
        <v>76</v>
      </c>
      <c r="C23" t="s">
        <v>209</v>
      </c>
      <c r="D23" s="12">
        <v>50</v>
      </c>
      <c r="E23" s="13">
        <v>50</v>
      </c>
      <c r="F23" s="14">
        <v>60.5285142681265</v>
      </c>
      <c r="H23" s="12">
        <v>14.8768989</v>
      </c>
      <c r="I23" s="13">
        <v>14.8983364</v>
      </c>
      <c r="J23" s="14">
        <v>15.7674174960712</v>
      </c>
      <c r="K23" s="15"/>
      <c r="L23" s="12">
        <v>85.1231011</v>
      </c>
      <c r="M23" s="13">
        <v>85.101663599999995</v>
      </c>
      <c r="N23" s="14">
        <v>84.232582503928796</v>
      </c>
      <c r="O23" s="15"/>
      <c r="P23" s="16">
        <v>36.533296</v>
      </c>
      <c r="Q23" s="17">
        <v>34.127937000000003</v>
      </c>
      <c r="R23" s="14">
        <v>31.761886000000001</v>
      </c>
      <c r="S23" s="15"/>
      <c r="T23" s="12">
        <v>85.1231011</v>
      </c>
      <c r="U23" s="13">
        <v>15.1388161</v>
      </c>
      <c r="V23" s="14"/>
      <c r="X23" s="16">
        <f t="shared" si="0"/>
        <v>-0.73600043990250463</v>
      </c>
      <c r="Y23" s="17">
        <f t="shared" si="1"/>
        <v>-0.95245847944056139</v>
      </c>
      <c r="Z23" s="14">
        <f t="shared" si="2"/>
        <v>0.20560409425879325</v>
      </c>
      <c r="AB23" s="16">
        <f t="shared" si="3"/>
        <v>0.65125911601382547</v>
      </c>
      <c r="AC23" s="17">
        <f t="shared" si="4"/>
        <v>-4.3576807179952208</v>
      </c>
      <c r="AD23" s="14">
        <f t="shared" si="5"/>
        <v>-10.348196029641844</v>
      </c>
      <c r="AN23">
        <v>2.6</v>
      </c>
      <c r="AO23" t="s">
        <v>76</v>
      </c>
      <c r="AP23">
        <v>16</v>
      </c>
      <c r="AQ23">
        <v>19</v>
      </c>
      <c r="AR23">
        <v>15</v>
      </c>
      <c r="AS23">
        <v>2</v>
      </c>
      <c r="AT23">
        <v>21</v>
      </c>
      <c r="AU23">
        <v>1</v>
      </c>
      <c r="AY23">
        <v>2.6</v>
      </c>
      <c r="AZ23" t="s">
        <v>76</v>
      </c>
      <c r="BA23">
        <v>11</v>
      </c>
      <c r="BB23">
        <v>22</v>
      </c>
      <c r="BC23">
        <v>14</v>
      </c>
      <c r="BD23">
        <v>20</v>
      </c>
      <c r="BE23">
        <v>23</v>
      </c>
      <c r="BF23">
        <v>21</v>
      </c>
      <c r="BJ23">
        <v>2.6</v>
      </c>
      <c r="BK23" t="s">
        <v>76</v>
      </c>
      <c r="BL23">
        <v>20</v>
      </c>
      <c r="BM23">
        <v>16</v>
      </c>
      <c r="BN23">
        <v>13</v>
      </c>
      <c r="BO23" t="s">
        <v>191</v>
      </c>
      <c r="BP23">
        <v>9</v>
      </c>
      <c r="BQ23">
        <v>24</v>
      </c>
      <c r="BU23" s="34">
        <v>2.6</v>
      </c>
      <c r="BV23" s="34" t="s">
        <v>76</v>
      </c>
      <c r="BW23" s="33">
        <f t="shared" si="7"/>
        <v>15.666666666666666</v>
      </c>
      <c r="BX23" s="33">
        <f t="shared" si="7"/>
        <v>19</v>
      </c>
      <c r="BY23" s="33">
        <f t="shared" si="7"/>
        <v>14</v>
      </c>
      <c r="BZ23" s="33">
        <f t="shared" si="7"/>
        <v>11</v>
      </c>
      <c r="CA23" s="33">
        <f t="shared" si="7"/>
        <v>17.666666666666668</v>
      </c>
      <c r="CB23" s="33">
        <f t="shared" si="7"/>
        <v>15.333333333333334</v>
      </c>
    </row>
    <row r="24" spans="1:81" x14ac:dyDescent="0.2">
      <c r="A24">
        <v>2.7</v>
      </c>
      <c r="B24" t="s">
        <v>78</v>
      </c>
      <c r="C24" t="s">
        <v>210</v>
      </c>
      <c r="D24" s="12">
        <v>59.151462600000002</v>
      </c>
      <c r="E24" s="13">
        <v>60.0761647</v>
      </c>
      <c r="F24" s="14">
        <v>54.001963974263099</v>
      </c>
      <c r="H24" s="12">
        <v>13.1482452</v>
      </c>
      <c r="I24" s="13">
        <v>13.6876155</v>
      </c>
      <c r="J24" s="14">
        <v>14.091147197485601</v>
      </c>
      <c r="K24" s="15"/>
      <c r="L24" s="12">
        <v>86.851754799999995</v>
      </c>
      <c r="M24" s="13">
        <v>86.312384499999993</v>
      </c>
      <c r="N24" s="14">
        <v>85.908852802514403</v>
      </c>
      <c r="O24" s="15"/>
      <c r="P24" s="16">
        <v>13.149196</v>
      </c>
      <c r="Q24" s="17">
        <v>21.029221</v>
      </c>
      <c r="R24" s="14">
        <v>26.027075</v>
      </c>
      <c r="S24" s="15"/>
      <c r="T24" s="12">
        <v>79.213529800000003</v>
      </c>
      <c r="U24" s="13">
        <v>76.717629599999995</v>
      </c>
      <c r="V24" s="14">
        <v>65.716592519360702</v>
      </c>
      <c r="X24" s="16">
        <f t="shared" si="0"/>
        <v>0.30145737912092618</v>
      </c>
      <c r="Y24" s="17">
        <f t="shared" si="1"/>
        <v>0.16091988632444615</v>
      </c>
      <c r="Z24" s="14">
        <f t="shared" si="2"/>
        <v>-0.6364536132248455</v>
      </c>
      <c r="AB24" s="16">
        <f t="shared" si="3"/>
        <v>0.22829720268590328</v>
      </c>
      <c r="AC24" s="17">
        <f t="shared" si="4"/>
        <v>4.9659756672256243E-2</v>
      </c>
      <c r="AD24" s="14">
        <f t="shared" si="5"/>
        <v>-0.29876602003526609</v>
      </c>
      <c r="AN24">
        <v>2.7</v>
      </c>
      <c r="AO24" t="s">
        <v>78</v>
      </c>
      <c r="AP24">
        <v>1</v>
      </c>
      <c r="AQ24">
        <v>1</v>
      </c>
      <c r="AR24">
        <v>10</v>
      </c>
      <c r="AS24">
        <v>6</v>
      </c>
      <c r="AT24">
        <v>3</v>
      </c>
      <c r="AU24">
        <v>6</v>
      </c>
      <c r="AY24">
        <v>2.7</v>
      </c>
      <c r="AZ24" t="s">
        <v>78</v>
      </c>
      <c r="BA24">
        <v>2</v>
      </c>
      <c r="BB24">
        <v>1</v>
      </c>
      <c r="BC24">
        <v>11</v>
      </c>
      <c r="BD24">
        <v>4</v>
      </c>
      <c r="BE24">
        <v>5</v>
      </c>
      <c r="BF24">
        <v>4</v>
      </c>
      <c r="BJ24">
        <v>2.7</v>
      </c>
      <c r="BK24" t="s">
        <v>78</v>
      </c>
      <c r="BL24">
        <v>4</v>
      </c>
      <c r="BM24">
        <v>4</v>
      </c>
      <c r="BN24">
        <v>8</v>
      </c>
      <c r="BO24">
        <v>14</v>
      </c>
      <c r="BP24">
        <v>20</v>
      </c>
      <c r="BQ24">
        <v>16</v>
      </c>
      <c r="BU24" s="34">
        <v>2.7</v>
      </c>
      <c r="BV24" s="34" t="s">
        <v>78</v>
      </c>
      <c r="BW24" s="33">
        <f t="shared" si="7"/>
        <v>2.3333333333333335</v>
      </c>
      <c r="BX24" s="33">
        <f t="shared" si="7"/>
        <v>2</v>
      </c>
      <c r="BY24" s="33">
        <f t="shared" si="7"/>
        <v>9.6666666666666661</v>
      </c>
      <c r="BZ24" s="33">
        <f t="shared" si="7"/>
        <v>8</v>
      </c>
      <c r="CA24" s="33">
        <f t="shared" si="7"/>
        <v>9.3333333333333339</v>
      </c>
      <c r="CB24" s="33">
        <f t="shared" si="7"/>
        <v>8.6666666666666661</v>
      </c>
    </row>
    <row r="25" spans="1:81" x14ac:dyDescent="0.2">
      <c r="A25">
        <v>2.8</v>
      </c>
      <c r="B25" t="s">
        <v>78</v>
      </c>
      <c r="C25" t="s">
        <v>211</v>
      </c>
      <c r="D25" s="12">
        <v>59.592416</v>
      </c>
      <c r="E25" s="13">
        <v>58.896749700000001</v>
      </c>
      <c r="F25" s="14">
        <v>50</v>
      </c>
      <c r="H25" s="12">
        <v>13.9339969</v>
      </c>
      <c r="I25" s="13">
        <v>14.0942699</v>
      </c>
      <c r="J25" s="14">
        <v>14.8768988999476</v>
      </c>
      <c r="K25" s="15"/>
      <c r="L25" s="12">
        <v>86.066003100000003</v>
      </c>
      <c r="M25" s="13">
        <v>85.9057301</v>
      </c>
      <c r="N25" s="14">
        <v>85.123101100052395</v>
      </c>
      <c r="O25" s="15"/>
      <c r="P25" s="16">
        <v>29.570913999999998</v>
      </c>
      <c r="Q25" s="17">
        <v>44.125030000000002</v>
      </c>
      <c r="R25" s="14">
        <v>54.492843000000001</v>
      </c>
      <c r="S25" s="15"/>
      <c r="T25" s="12">
        <v>73.370816199999993</v>
      </c>
      <c r="U25" s="13">
        <v>74.065705399999999</v>
      </c>
      <c r="V25" s="14">
        <v>67.575164109817607</v>
      </c>
      <c r="X25" s="16">
        <f t="shared" si="0"/>
        <v>0.35144617027382502</v>
      </c>
      <c r="Y25" s="17">
        <f t="shared" si="1"/>
        <v>3.0598957245276285E-2</v>
      </c>
      <c r="Z25" s="14">
        <f t="shared" si="2"/>
        <v>-1.152788347175894</v>
      </c>
      <c r="AB25" s="16">
        <f t="shared" si="3"/>
        <v>-0.18987954784811234</v>
      </c>
      <c r="AC25" s="17">
        <f t="shared" si="4"/>
        <v>-0.14014469388621636</v>
      </c>
      <c r="AD25" s="14">
        <f t="shared" si="5"/>
        <v>-1.4551875629692181E-2</v>
      </c>
      <c r="AN25">
        <v>2.8</v>
      </c>
      <c r="AO25" t="s">
        <v>78</v>
      </c>
      <c r="AP25">
        <v>3</v>
      </c>
      <c r="AQ25">
        <v>5</v>
      </c>
      <c r="AR25">
        <v>12</v>
      </c>
      <c r="AS25">
        <v>9</v>
      </c>
      <c r="AT25">
        <v>2</v>
      </c>
      <c r="AU25">
        <v>15</v>
      </c>
      <c r="AY25">
        <v>2.8</v>
      </c>
      <c r="AZ25" t="s">
        <v>78</v>
      </c>
      <c r="BA25">
        <v>4</v>
      </c>
      <c r="BB25">
        <v>3</v>
      </c>
      <c r="BC25">
        <v>13</v>
      </c>
      <c r="BD25">
        <v>7</v>
      </c>
      <c r="BE25">
        <v>10</v>
      </c>
      <c r="BF25">
        <v>11</v>
      </c>
      <c r="BJ25">
        <v>2.8</v>
      </c>
      <c r="BK25" t="s">
        <v>78</v>
      </c>
      <c r="BL25">
        <v>11</v>
      </c>
      <c r="BM25">
        <v>8</v>
      </c>
      <c r="BN25">
        <v>16</v>
      </c>
      <c r="BO25">
        <v>15</v>
      </c>
      <c r="BP25">
        <v>21</v>
      </c>
      <c r="BQ25">
        <v>12</v>
      </c>
      <c r="BU25" s="34">
        <v>2.8</v>
      </c>
      <c r="BV25" s="34" t="s">
        <v>78</v>
      </c>
      <c r="BW25" s="33">
        <f t="shared" si="7"/>
        <v>6</v>
      </c>
      <c r="BX25" s="33">
        <f t="shared" si="7"/>
        <v>5.333333333333333</v>
      </c>
      <c r="BY25" s="33">
        <f t="shared" si="7"/>
        <v>13.666666666666666</v>
      </c>
      <c r="BZ25" s="33">
        <f t="shared" si="7"/>
        <v>10.333333333333334</v>
      </c>
      <c r="CA25" s="33">
        <f t="shared" si="7"/>
        <v>11</v>
      </c>
      <c r="CB25" s="33">
        <f t="shared" si="7"/>
        <v>12.666666666666666</v>
      </c>
    </row>
    <row r="26" spans="1:81" x14ac:dyDescent="0.2">
      <c r="A26">
        <v>2.9</v>
      </c>
      <c r="B26" t="s">
        <v>51</v>
      </c>
      <c r="C26" t="s">
        <v>212</v>
      </c>
      <c r="D26" s="12">
        <v>70.715492999999995</v>
      </c>
      <c r="E26" s="13">
        <v>76.299783300000001</v>
      </c>
      <c r="F26" s="14">
        <v>50</v>
      </c>
      <c r="H26" s="12">
        <v>30.068098500000001</v>
      </c>
      <c r="I26" s="13">
        <v>28.622920499999999</v>
      </c>
      <c r="J26" s="14">
        <v>14.8768988999476</v>
      </c>
      <c r="K26" s="15"/>
      <c r="L26" s="12">
        <v>69.931901499999995</v>
      </c>
      <c r="M26" s="13">
        <v>71.377079499999994</v>
      </c>
      <c r="N26" s="14">
        <v>85.123101100052395</v>
      </c>
      <c r="O26" s="15"/>
      <c r="P26" s="16">
        <v>9.5760799999999993</v>
      </c>
      <c r="Q26" s="17">
        <v>18.297160999999999</v>
      </c>
      <c r="R26" s="14">
        <v>23.847728</v>
      </c>
      <c r="S26" s="15"/>
      <c r="T26" s="12">
        <v>62.355408300000001</v>
      </c>
      <c r="U26" s="13">
        <v>64.359003799999996</v>
      </c>
      <c r="V26" s="14"/>
      <c r="X26" s="16">
        <f t="shared" si="0"/>
        <v>1.6124165429495194</v>
      </c>
      <c r="Y26" s="17">
        <f t="shared" si="1"/>
        <v>1.9535688258225055</v>
      </c>
      <c r="Z26" s="14">
        <f t="shared" si="2"/>
        <v>-1.152788347175894</v>
      </c>
      <c r="AB26" s="16">
        <f t="shared" si="3"/>
        <v>-0.97827819217473366</v>
      </c>
      <c r="AC26" s="17">
        <f t="shared" si="4"/>
        <v>-0.83487615111378333</v>
      </c>
      <c r="AD26" s="14">
        <f t="shared" si="5"/>
        <v>-10.348196029641844</v>
      </c>
      <c r="AN26">
        <v>2.9</v>
      </c>
      <c r="AO26" t="s">
        <v>51</v>
      </c>
      <c r="AP26">
        <v>25</v>
      </c>
      <c r="AQ26">
        <v>25</v>
      </c>
      <c r="AR26">
        <v>11</v>
      </c>
      <c r="AS26">
        <v>24</v>
      </c>
      <c r="AT26">
        <v>1</v>
      </c>
      <c r="AU26">
        <v>24</v>
      </c>
      <c r="AY26">
        <v>2.9</v>
      </c>
      <c r="AZ26" t="s">
        <v>51</v>
      </c>
      <c r="BA26">
        <v>25</v>
      </c>
      <c r="BB26">
        <v>25</v>
      </c>
      <c r="BC26">
        <v>10</v>
      </c>
      <c r="BD26">
        <v>19</v>
      </c>
      <c r="BE26">
        <v>1</v>
      </c>
      <c r="BF26">
        <v>24</v>
      </c>
      <c r="BJ26">
        <v>2.9</v>
      </c>
      <c r="BK26" t="s">
        <v>51</v>
      </c>
      <c r="BL26">
        <v>11</v>
      </c>
      <c r="BM26">
        <v>9</v>
      </c>
      <c r="BN26">
        <v>9</v>
      </c>
      <c r="BO26" t="s">
        <v>191</v>
      </c>
      <c r="BP26">
        <v>21</v>
      </c>
      <c r="BQ26">
        <v>24</v>
      </c>
      <c r="BU26" s="34">
        <v>2.9</v>
      </c>
      <c r="BV26" s="34" t="s">
        <v>51</v>
      </c>
      <c r="BW26" s="33">
        <f t="shared" si="7"/>
        <v>20.333333333333332</v>
      </c>
      <c r="BX26" s="33">
        <f t="shared" si="7"/>
        <v>19.666666666666668</v>
      </c>
      <c r="BY26" s="33">
        <f t="shared" si="7"/>
        <v>10</v>
      </c>
      <c r="BZ26" s="33">
        <f t="shared" si="7"/>
        <v>21.5</v>
      </c>
      <c r="CA26" s="33">
        <f t="shared" si="7"/>
        <v>7.666666666666667</v>
      </c>
      <c r="CB26" s="33">
        <f t="shared" si="7"/>
        <v>24</v>
      </c>
      <c r="CC26" s="32"/>
    </row>
    <row r="27" spans="1:81" x14ac:dyDescent="0.2">
      <c r="C27" t="s">
        <v>213</v>
      </c>
      <c r="D27" s="18">
        <f>MEDIAN(D3:D26)</f>
        <v>56.492293349999997</v>
      </c>
      <c r="E27" s="19">
        <f>MEDIAN(E3:E26)</f>
        <v>58.61982665</v>
      </c>
      <c r="F27" s="20">
        <f>MEDIAN(F3:F26)</f>
        <v>58.934935289063098</v>
      </c>
      <c r="G27" t="s">
        <v>213</v>
      </c>
      <c r="H27" s="18">
        <f>MEDIAN(H3:H26)</f>
        <v>14.837611299999999</v>
      </c>
      <c r="I27" s="19">
        <f>MEDIAN(I3:I26)</f>
        <v>14.8983364</v>
      </c>
      <c r="J27" s="20">
        <f>MEDIAN(J3:J26)</f>
        <v>14.8768988999476</v>
      </c>
      <c r="K27" t="s">
        <v>213</v>
      </c>
      <c r="L27" s="18">
        <f>MEDIAN(L3:L26)</f>
        <v>85.1231011</v>
      </c>
      <c r="M27" s="19">
        <f>MEDIAN(M3:M26)</f>
        <v>85.101663599999995</v>
      </c>
      <c r="N27" s="20">
        <f>MEDIAN(N3:N26)</f>
        <v>85.123101100052395</v>
      </c>
      <c r="O27" t="s">
        <v>213</v>
      </c>
      <c r="P27" s="18">
        <f>MEDIAN(P3:P26)</f>
        <v>32.530344499999998</v>
      </c>
      <c r="Q27" s="19">
        <f>MEDIAN(Q3:Q26)</f>
        <v>37.127946000000001</v>
      </c>
      <c r="R27" s="20">
        <f>MEDIAN(R3:R26)</f>
        <v>35.660076000000004</v>
      </c>
      <c r="S27" t="s">
        <v>213</v>
      </c>
      <c r="T27" s="18">
        <f>MEDIAN(T3:T26)</f>
        <v>76.023789649999998</v>
      </c>
      <c r="U27" s="19">
        <f>MEDIAN(U3:U26)</f>
        <v>67.318839199999999</v>
      </c>
      <c r="V27" s="20">
        <f>MEDIAN(V3:V26)</f>
        <v>67.670323703967199</v>
      </c>
      <c r="W27" t="s">
        <v>213</v>
      </c>
      <c r="X27" s="23"/>
      <c r="Y27" s="23"/>
      <c r="Z27" s="24"/>
      <c r="AA27" t="s">
        <v>213</v>
      </c>
      <c r="AB27" s="26"/>
      <c r="AC27" s="26"/>
      <c r="AD27" s="27"/>
    </row>
    <row r="28" spans="1:81" x14ac:dyDescent="0.2">
      <c r="C28" t="s">
        <v>214</v>
      </c>
      <c r="D28" s="18">
        <f>QUARTILE(D3:D26,3)-QUARTILE(D3:D26,1)</f>
        <v>8.8210454749999982</v>
      </c>
      <c r="E28" s="19">
        <f>QUARTILE(E3:E26,3)-QUARTILE(E3:E26,1)</f>
        <v>9.0500812750000037</v>
      </c>
      <c r="F28" s="20">
        <f>QUARTILE(F3:F26, 3)-QUARTILE(F3:F26, 1)</f>
        <v>7.7507161752215339</v>
      </c>
      <c r="G28" t="s">
        <v>214</v>
      </c>
      <c r="H28" s="18">
        <f>QUARTILE(H3:H26, 3)-QUARTILE(H3:H26, 1)</f>
        <v>0.3666841500000011</v>
      </c>
      <c r="I28" s="19">
        <f>QUARTILE(I3:I26, 3)-QUARTILE(I3:I26, 1)</f>
        <v>1.1783733749999996</v>
      </c>
      <c r="J28" s="20">
        <f>QUARTILE(J3:J26, 3)-QUARTILE(J3:J26, 1)</f>
        <v>0.96757003403272535</v>
      </c>
      <c r="K28" t="s">
        <v>214</v>
      </c>
      <c r="L28" s="18">
        <f>QUARTILE(L3:L26,3)-QUARTILE(L3:L26,1)</f>
        <v>0.36668415000001175</v>
      </c>
      <c r="M28" s="19">
        <f>QUARTILE(M3:M26,3)-QUARTILE(M3:M26,1)</f>
        <v>1.1783733750000067</v>
      </c>
      <c r="N28" s="20">
        <f>QUARTILE(N3:N26,3)-QUARTILE(N3:N26,1)</f>
        <v>0.96757003403273245</v>
      </c>
      <c r="O28" t="s">
        <v>214</v>
      </c>
      <c r="P28" s="18">
        <f>QUARTILE(P3:P26,3)-QUARTILE(P3:P26,1)</f>
        <v>39.591200000000008</v>
      </c>
      <c r="Q28" s="19">
        <f>QUARTILE(Q3:Q26,3)-QUARTILE(Q3:Q26,1)</f>
        <v>56.101558249999997</v>
      </c>
      <c r="R28" s="20">
        <f>QUARTILE(R3:R26,3)-QUARTILE(R3:R26,1)</f>
        <v>54.790695499999998</v>
      </c>
      <c r="S28" t="s">
        <v>214</v>
      </c>
      <c r="T28" s="18">
        <f>QUARTILE(T3:T26,3)-QUARTILE(T3:T26,1)</f>
        <v>13.971875749999995</v>
      </c>
      <c r="U28" s="19">
        <f>QUARTILE(U3:U26,3)-QUARTILE(U3:U26,1)</f>
        <v>58.797389225000003</v>
      </c>
      <c r="V28" s="20">
        <f>QUARTILE(V3:V26,3)-QUARTILE(V3:V26,1)</f>
        <v>6.5393353112106922</v>
      </c>
      <c r="W28" t="s">
        <v>214</v>
      </c>
      <c r="X28" s="23"/>
      <c r="Y28" s="23"/>
      <c r="Z28" s="24"/>
      <c r="AA28" t="s">
        <v>214</v>
      </c>
      <c r="AB28" s="26"/>
      <c r="AC28" s="26"/>
      <c r="AD28" s="27"/>
    </row>
    <row r="29" spans="1:81" x14ac:dyDescent="0.2">
      <c r="X29" s="25"/>
      <c r="Y29" s="25"/>
      <c r="Z29" s="25"/>
      <c r="AB29" s="25"/>
      <c r="AC29" s="25"/>
      <c r="AD29" s="25"/>
    </row>
    <row r="31" spans="1:81" x14ac:dyDescent="0.2">
      <c r="Z31" s="21"/>
    </row>
    <row r="32" spans="1:81" x14ac:dyDescent="0.2">
      <c r="T32">
        <f>AVERAGE(H24:J25)</f>
        <v>13.972028932905532</v>
      </c>
      <c r="X32" s="22">
        <f>MEDIAN(X3:X26)</f>
        <v>4.0245584642661925E-16</v>
      </c>
    </row>
    <row r="33" spans="20:20" x14ac:dyDescent="0.2">
      <c r="T33">
        <f>AVERAGE(D24:F25)</f>
        <v>56.953126162377181</v>
      </c>
    </row>
    <row r="35" spans="20:20" x14ac:dyDescent="0.2">
      <c r="T35">
        <f>AVERAGE(H12:J13, H15:J17)</f>
        <v>14.850443641579739</v>
      </c>
    </row>
    <row r="36" spans="20:20" x14ac:dyDescent="0.2">
      <c r="T36">
        <f>AVERAGE(D15:F17, D12:F13)</f>
        <v>55.03763165193395</v>
      </c>
    </row>
    <row r="38" spans="20:20" x14ac:dyDescent="0.2">
      <c r="T38">
        <f>AVERAGE(D20:F20, D14:F14, D3:F3)</f>
        <v>61.892834465775849</v>
      </c>
    </row>
    <row r="40" spans="20:20" x14ac:dyDescent="0.2">
      <c r="T40">
        <f>AVERAGE(D4:F8, D26:F26)</f>
        <v>60.634078728135492</v>
      </c>
    </row>
    <row r="81" spans="3:6" x14ac:dyDescent="0.2">
      <c r="C81" s="38" t="s">
        <v>215</v>
      </c>
      <c r="D81" s="39" t="s">
        <v>176</v>
      </c>
      <c r="E81" s="39" t="s">
        <v>177</v>
      </c>
      <c r="F81" s="39" t="s">
        <v>178</v>
      </c>
    </row>
    <row r="82" spans="3:6" x14ac:dyDescent="0.2">
      <c r="C82" s="32" t="s">
        <v>45</v>
      </c>
      <c r="D82" s="35">
        <v>62.08</v>
      </c>
      <c r="E82" s="36">
        <v>60.16</v>
      </c>
      <c r="F82" s="37">
        <v>60.76</v>
      </c>
    </row>
    <row r="83" spans="3:6" x14ac:dyDescent="0.2">
      <c r="C83" s="32" t="s">
        <v>51</v>
      </c>
      <c r="D83" s="35">
        <v>57.83</v>
      </c>
      <c r="E83" s="36">
        <v>58.34</v>
      </c>
      <c r="F83" s="37">
        <v>54.8</v>
      </c>
    </row>
    <row r="84" spans="3:6" x14ac:dyDescent="0.2">
      <c r="C84" s="32" t="s">
        <v>51</v>
      </c>
      <c r="D84" s="35">
        <v>57.45</v>
      </c>
      <c r="E84" s="36">
        <v>59.62</v>
      </c>
      <c r="F84" s="37">
        <v>61.83</v>
      </c>
    </row>
    <row r="85" spans="3:6" x14ac:dyDescent="0.2">
      <c r="C85" s="32" t="s">
        <v>51</v>
      </c>
      <c r="D85" s="35">
        <v>57.85</v>
      </c>
      <c r="E85" s="36">
        <v>55.69</v>
      </c>
      <c r="F85" s="37">
        <v>75.040000000000006</v>
      </c>
    </row>
    <row r="86" spans="3:6" x14ac:dyDescent="0.2">
      <c r="C86" s="32" t="s">
        <v>51</v>
      </c>
      <c r="D86" s="35">
        <v>58.58</v>
      </c>
      <c r="E86" s="36">
        <v>59.71</v>
      </c>
      <c r="F86" s="37">
        <v>60.64</v>
      </c>
    </row>
    <row r="87" spans="3:6" x14ac:dyDescent="0.2">
      <c r="C87" s="32" t="s">
        <v>51</v>
      </c>
      <c r="D87" s="35">
        <v>57</v>
      </c>
      <c r="E87" s="36">
        <v>59.15</v>
      </c>
      <c r="F87" s="37">
        <v>60.88</v>
      </c>
    </row>
    <row r="88" spans="3:6" x14ac:dyDescent="0.2">
      <c r="C88" s="32" t="s">
        <v>58</v>
      </c>
      <c r="D88" s="35">
        <v>59.12</v>
      </c>
      <c r="E88" s="36">
        <v>58.06</v>
      </c>
      <c r="F88" s="37">
        <v>58.18</v>
      </c>
    </row>
    <row r="89" spans="3:6" x14ac:dyDescent="0.2">
      <c r="C89" s="32" t="s">
        <v>58</v>
      </c>
      <c r="D89" s="35">
        <v>50</v>
      </c>
      <c r="E89" s="36">
        <v>50.18</v>
      </c>
      <c r="F89" s="37">
        <v>60.63</v>
      </c>
    </row>
    <row r="90" spans="3:6" x14ac:dyDescent="0.2">
      <c r="C90" s="32" t="s">
        <v>58</v>
      </c>
      <c r="D90" s="35">
        <v>51.18</v>
      </c>
      <c r="E90" s="36">
        <v>53.78</v>
      </c>
      <c r="F90" s="37">
        <v>60.27</v>
      </c>
    </row>
    <row r="91" spans="3:6" x14ac:dyDescent="0.2">
      <c r="C91" s="32" t="s">
        <v>62</v>
      </c>
      <c r="D91" s="35">
        <v>50.53</v>
      </c>
      <c r="E91" s="36">
        <v>51.23</v>
      </c>
      <c r="F91" s="37">
        <v>59.69</v>
      </c>
    </row>
    <row r="92" spans="3:6" x14ac:dyDescent="0.2">
      <c r="C92" s="32" t="s">
        <v>62</v>
      </c>
      <c r="D92" s="35">
        <v>55.98</v>
      </c>
      <c r="E92" s="36">
        <v>59.98</v>
      </c>
      <c r="F92" s="37">
        <v>50</v>
      </c>
    </row>
    <row r="93" spans="3:6" x14ac:dyDescent="0.2">
      <c r="C93" s="32" t="s">
        <v>45</v>
      </c>
      <c r="D93" s="35">
        <v>50</v>
      </c>
      <c r="E93" s="36">
        <v>83.43</v>
      </c>
      <c r="F93" s="37">
        <v>50</v>
      </c>
    </row>
    <row r="94" spans="3:6" x14ac:dyDescent="0.2">
      <c r="C94" s="32" t="s">
        <v>62</v>
      </c>
      <c r="D94" s="35">
        <v>50</v>
      </c>
      <c r="E94" s="36">
        <v>50</v>
      </c>
      <c r="F94" s="37">
        <v>62.03</v>
      </c>
    </row>
    <row r="95" spans="3:6" x14ac:dyDescent="0.2">
      <c r="C95" s="32" t="s">
        <v>62</v>
      </c>
      <c r="D95" s="35">
        <v>50</v>
      </c>
      <c r="E95" s="36">
        <v>50</v>
      </c>
      <c r="F95" s="37">
        <v>53.42</v>
      </c>
    </row>
    <row r="96" spans="3:6" x14ac:dyDescent="0.2">
      <c r="C96" s="32" t="s">
        <v>62</v>
      </c>
      <c r="D96" s="35">
        <v>60.4</v>
      </c>
      <c r="E96" s="36">
        <v>62.37</v>
      </c>
      <c r="F96" s="37">
        <v>59.92</v>
      </c>
    </row>
    <row r="97" spans="3:12" x14ac:dyDescent="0.2">
      <c r="C97" s="32" t="s">
        <v>69</v>
      </c>
      <c r="D97" s="35">
        <v>58.72</v>
      </c>
      <c r="E97" s="36">
        <v>60</v>
      </c>
      <c r="F97" s="37">
        <v>60.76</v>
      </c>
    </row>
    <row r="98" spans="3:12" x14ac:dyDescent="0.2">
      <c r="C98" s="32" t="s">
        <v>69</v>
      </c>
      <c r="D98" s="35">
        <v>50</v>
      </c>
      <c r="E98" s="36">
        <v>50</v>
      </c>
      <c r="F98" s="37">
        <v>50</v>
      </c>
    </row>
    <row r="99" spans="3:12" x14ac:dyDescent="0.2">
      <c r="C99" s="32" t="s">
        <v>45</v>
      </c>
      <c r="D99" s="35">
        <v>52.5</v>
      </c>
      <c r="E99" s="36">
        <v>81.319999999999993</v>
      </c>
      <c r="F99" s="37">
        <v>56.79</v>
      </c>
    </row>
    <row r="100" spans="3:12" x14ac:dyDescent="0.2">
      <c r="C100" s="32" t="s">
        <v>73</v>
      </c>
      <c r="D100" s="35">
        <v>50</v>
      </c>
      <c r="E100" s="36">
        <v>50</v>
      </c>
      <c r="F100" s="37">
        <v>56.05</v>
      </c>
    </row>
    <row r="101" spans="3:12" x14ac:dyDescent="0.2">
      <c r="C101" s="32" t="s">
        <v>74</v>
      </c>
      <c r="D101" s="35">
        <v>51.35</v>
      </c>
      <c r="E101" s="36">
        <v>52.57</v>
      </c>
      <c r="F101" s="37">
        <v>51.42</v>
      </c>
    </row>
    <row r="102" spans="3:12" x14ac:dyDescent="0.2">
      <c r="C102" s="32" t="s">
        <v>76</v>
      </c>
      <c r="D102" s="35">
        <v>50</v>
      </c>
      <c r="E102" s="36">
        <v>50</v>
      </c>
      <c r="F102" s="37">
        <v>60.53</v>
      </c>
    </row>
    <row r="103" spans="3:12" x14ac:dyDescent="0.2">
      <c r="C103" s="32" t="s">
        <v>78</v>
      </c>
      <c r="D103" s="35">
        <v>59.15</v>
      </c>
      <c r="E103" s="36">
        <v>60.08</v>
      </c>
      <c r="F103" s="37">
        <v>54</v>
      </c>
    </row>
    <row r="104" spans="3:12" x14ac:dyDescent="0.2">
      <c r="C104" s="32" t="s">
        <v>78</v>
      </c>
      <c r="D104" s="35">
        <v>59.59</v>
      </c>
      <c r="E104" s="36">
        <v>58.9</v>
      </c>
      <c r="F104" s="37">
        <v>50</v>
      </c>
    </row>
    <row r="105" spans="3:12" x14ac:dyDescent="0.2">
      <c r="C105" s="32" t="s">
        <v>51</v>
      </c>
      <c r="D105" s="35">
        <v>70.72</v>
      </c>
      <c r="E105" s="36">
        <v>76.3</v>
      </c>
      <c r="F105" s="37">
        <v>50</v>
      </c>
      <c r="I105" s="30" t="s">
        <v>9</v>
      </c>
      <c r="J105" s="30" t="s">
        <v>176</v>
      </c>
      <c r="K105" s="30" t="s">
        <v>177</v>
      </c>
      <c r="L105" s="30" t="s">
        <v>178</v>
      </c>
    </row>
    <row r="106" spans="3:12" x14ac:dyDescent="0.2">
      <c r="I106" s="30" t="s">
        <v>45</v>
      </c>
      <c r="J106" s="40">
        <v>54.86</v>
      </c>
      <c r="K106" s="41">
        <v>74.97</v>
      </c>
      <c r="L106" s="42">
        <v>55.85</v>
      </c>
    </row>
    <row r="107" spans="3:12" x14ac:dyDescent="0.2">
      <c r="I107" s="30" t="s">
        <v>51</v>
      </c>
      <c r="J107" s="40">
        <v>59.91</v>
      </c>
      <c r="K107" s="41">
        <v>61.47</v>
      </c>
      <c r="L107" s="42">
        <v>60.53</v>
      </c>
    </row>
    <row r="108" spans="3:12" x14ac:dyDescent="0.2">
      <c r="I108" s="30" t="s">
        <v>58</v>
      </c>
      <c r="J108" s="40">
        <v>53.43</v>
      </c>
      <c r="K108" s="41">
        <v>54.01</v>
      </c>
      <c r="L108" s="42">
        <v>59.69</v>
      </c>
    </row>
    <row r="109" spans="3:12" x14ac:dyDescent="0.2">
      <c r="I109" s="30" t="s">
        <v>62</v>
      </c>
      <c r="J109" s="40">
        <v>53.38</v>
      </c>
      <c r="K109" s="41">
        <v>54.72</v>
      </c>
      <c r="L109" s="42">
        <v>57.01</v>
      </c>
    </row>
    <row r="110" spans="3:12" x14ac:dyDescent="0.2">
      <c r="I110" s="30" t="s">
        <v>69</v>
      </c>
      <c r="J110" s="40">
        <v>54.36</v>
      </c>
      <c r="K110" s="41">
        <v>55</v>
      </c>
      <c r="L110" s="42">
        <v>55.38</v>
      </c>
    </row>
    <row r="111" spans="3:12" x14ac:dyDescent="0.2">
      <c r="I111" s="30" t="s">
        <v>73</v>
      </c>
      <c r="J111" s="40">
        <v>50</v>
      </c>
      <c r="K111" s="41">
        <v>50</v>
      </c>
      <c r="L111" s="42">
        <v>56.05</v>
      </c>
    </row>
    <row r="112" spans="3:12" x14ac:dyDescent="0.2">
      <c r="I112" s="30" t="s">
        <v>74</v>
      </c>
      <c r="J112" s="40">
        <v>51.35</v>
      </c>
      <c r="K112" s="41">
        <v>52.57</v>
      </c>
      <c r="L112" s="42">
        <v>51.42</v>
      </c>
    </row>
    <row r="113" spans="9:12" x14ac:dyDescent="0.2">
      <c r="I113" s="30" t="s">
        <v>76</v>
      </c>
      <c r="J113" s="40">
        <v>50</v>
      </c>
      <c r="K113" s="41">
        <v>50</v>
      </c>
      <c r="L113" s="42">
        <v>60.53</v>
      </c>
    </row>
    <row r="114" spans="9:12" x14ac:dyDescent="0.2">
      <c r="I114" s="30" t="s">
        <v>78</v>
      </c>
      <c r="J114" s="40">
        <v>59.37</v>
      </c>
      <c r="K114" s="41">
        <v>59.49</v>
      </c>
      <c r="L114" s="42">
        <v>52</v>
      </c>
    </row>
  </sheetData>
  <sortState xmlns:xlrd2="http://schemas.microsoft.com/office/spreadsheetml/2017/richdata2" ref="AB3:AD26">
    <sortCondition descending="1" ref="AB3:AB26"/>
  </sortState>
  <mergeCells count="7">
    <mergeCell ref="AB1:AD1"/>
    <mergeCell ref="D1:F1"/>
    <mergeCell ref="H1:J1"/>
    <mergeCell ref="L1:N1"/>
    <mergeCell ref="P1:R1"/>
    <mergeCell ref="X1:Z1"/>
    <mergeCell ref="T1:V1"/>
  </mergeCells>
  <pageMargins left="0.7" right="0.7" top="0.75" bottom="0.75" header="0.3" footer="0.3"/>
  <pageSetup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AD569E-3356-164C-A305-E952D8AD4C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V1</vt:lpstr>
      <vt:lpstr>V2</vt:lpstr>
      <vt:lpstr>V3</vt:lpstr>
      <vt:lpstr>V4</vt:lpstr>
      <vt:lpstr>V5</vt:lpstr>
      <vt:lpstr>Small</vt:lpstr>
      <vt:lpstr>P1</vt:lpstr>
      <vt:lpstr>P2</vt:lpstr>
      <vt:lpstr>P3</vt:lpstr>
      <vt:lpstr>P4</vt:lpstr>
      <vt:lpstr>P5</vt:lpstr>
      <vt:lpstr>Medium</vt:lpstr>
      <vt:lpstr>L1</vt:lpstr>
      <vt:lpstr>L2</vt:lpstr>
      <vt:lpstr>L3</vt:lpstr>
      <vt:lpstr>L4</vt:lpstr>
      <vt:lpstr>L5</vt:lpstr>
      <vt:lpstr>Large</vt:lpstr>
      <vt:lpstr>Weighted Score Small</vt:lpstr>
      <vt:lpstr>Weighted Score Medium</vt:lpstr>
      <vt:lpstr>Weighted Score Large </vt:lpstr>
      <vt:lpstr>Feature Selection Rankings</vt:lpstr>
      <vt:lpstr>Preliminary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Gavin</dc:creator>
  <cp:keywords/>
  <dc:description/>
  <cp:lastModifiedBy>Jones, Gavin</cp:lastModifiedBy>
  <cp:revision/>
  <dcterms:created xsi:type="dcterms:W3CDTF">2026-02-09T22:45:20Z</dcterms:created>
  <dcterms:modified xsi:type="dcterms:W3CDTF">2026-05-04T01:09:00Z</dcterms:modified>
  <cp:category/>
  <cp:contentStatus/>
</cp:coreProperties>
</file>